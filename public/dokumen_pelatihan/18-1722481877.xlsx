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k Heru Wahono\Downloads\PRAKOM\"/>
    </mc:Choice>
  </mc:AlternateContent>
  <xr:revisionPtr revIDLastSave="0" documentId="13_ncr:1_{33359BF5-DEDF-4982-9FEE-81B19B51A5CD}" xr6:coauthVersionLast="45" xr6:coauthVersionMax="47" xr10:uidLastSave="{00000000-0000-0000-0000-000000000000}"/>
  <bookViews>
    <workbookView minimized="1" xWindow="1875" yWindow="780" windowWidth="11145" windowHeight="10740" xr2:uid="{917819E4-EB3C-3B43-9C42-397F67712C9F}"/>
  </bookViews>
  <sheets>
    <sheet name="JATENG (SWAKELOLA)" sheetId="2" r:id="rId1"/>
    <sheet name="Sheet1" sheetId="1" r:id="rId2"/>
  </sheets>
  <definedNames>
    <definedName name="_xlnm.Print_Area" localSheetId="0">'JATENG (SWAKELOLA)'!$A$1:$F$69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3" i="2" l="1"/>
  <c r="H70" i="2"/>
  <c r="I70" i="2" s="1"/>
  <c r="C65" i="2"/>
  <c r="D64" i="2"/>
  <c r="H56" i="2"/>
  <c r="I56" i="2" s="1"/>
  <c r="B54" i="2"/>
  <c r="B48" i="2"/>
  <c r="C45" i="2"/>
  <c r="C51" i="2" s="1"/>
  <c r="C39" i="2"/>
  <c r="B39" i="2"/>
  <c r="B45" i="2" s="1"/>
  <c r="B51" i="2" s="1"/>
  <c r="B59" i="2" s="1"/>
  <c r="C59" i="2" s="1"/>
  <c r="D59" i="2" s="1"/>
  <c r="E59" i="2" s="1"/>
  <c r="F59" i="2" s="1"/>
  <c r="H36" i="2"/>
  <c r="I36" i="2" s="1"/>
  <c r="C27" i="2"/>
  <c r="B27" i="2"/>
  <c r="H25" i="2"/>
  <c r="I25" i="2" s="1"/>
  <c r="C16" i="2"/>
  <c r="B16" i="2"/>
  <c r="H13" i="2"/>
  <c r="I13" i="2" s="1"/>
  <c r="C5" i="2"/>
  <c r="D5" i="2" s="1"/>
  <c r="D16" i="2" l="1"/>
  <c r="D27" i="2" s="1"/>
  <c r="D39" i="2" s="1"/>
  <c r="D45" i="2" s="1"/>
  <c r="D51" i="2" s="1"/>
  <c r="E5" i="2"/>
  <c r="I71" i="2"/>
  <c r="H71" i="2"/>
  <c r="E16" i="2" l="1"/>
  <c r="E27" i="2" s="1"/>
  <c r="E39" i="2" s="1"/>
  <c r="E45" i="2" s="1"/>
  <c r="E51" i="2" s="1"/>
  <c r="F5" i="2"/>
  <c r="F16" i="2" s="1"/>
  <c r="F27" i="2" s="1"/>
  <c r="F39" i="2" s="1"/>
  <c r="F45" i="2" s="1"/>
  <c r="F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1" authorId="0" shapeId="0" xr:uid="{27E4191F-1B06-BA42-87AF-7AD948487D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pengajar penguatan materi = 2 org</t>
        </r>
      </text>
    </comment>
    <comment ref="C71" authorId="0" shapeId="0" xr:uid="{89744809-9059-354C-A7C7-F27BE1ED9D58}">
      <text>
        <r>
          <rPr>
            <b/>
            <sz val="9"/>
            <color indexed="81"/>
            <rFont val="Tahoma"/>
            <family val="2"/>
          </rPr>
          <t>coach : 4 org</t>
        </r>
      </text>
    </comment>
    <comment ref="D71" authorId="0" shapeId="0" xr:uid="{F8EAF8B6-2423-0C4E-8BB1-A189E24D091C}">
      <text>
        <r>
          <rPr>
            <sz val="9"/>
            <color indexed="81"/>
            <rFont val="Tahoma"/>
            <family val="2"/>
          </rPr>
          <t>penguji = 4 org</t>
        </r>
      </text>
    </comment>
    <comment ref="E71" authorId="0" shapeId="0" xr:uid="{C97260EF-85D2-3A45-89F0-96297856D24D}">
      <text>
        <r>
          <rPr>
            <sz val="9"/>
            <color rgb="FF000000"/>
            <rFont val="Tahoma"/>
            <family val="2"/>
          </rPr>
          <t>pimpinan = 1 org
review = 1 org</t>
        </r>
      </text>
    </comment>
  </commentList>
</comments>
</file>

<file path=xl/sharedStrings.xml><?xml version="1.0" encoding="utf-8"?>
<sst xmlns="http://schemas.openxmlformats.org/spreadsheetml/2006/main" count="144" uniqueCount="83">
  <si>
    <t>TIMELINE PELATIHAN FUNGSIONAL PRAKOM KATEGORI KETERAMPILAN (JATENG)METODE BLENDED LEARNING BADAN PUSAT STATISTIK</t>
  </si>
  <si>
    <t>Pembukaan : Integrasi dengan Angkatan I tgl 28 September 2022</t>
  </si>
  <si>
    <t>Tahap 1</t>
  </si>
  <si>
    <t xml:space="preserve">PEMBELAJARAN MANDIRI / MOOC </t>
  </si>
  <si>
    <t>Senin</t>
  </si>
  <si>
    <t>Selasa</t>
  </si>
  <si>
    <t>Rabu</t>
  </si>
  <si>
    <t>Kamis</t>
  </si>
  <si>
    <t>Jumat</t>
  </si>
  <si>
    <t>Overview Pelatihan (3 jp)</t>
  </si>
  <si>
    <t>Pengelolaan Data (1 JP)</t>
  </si>
  <si>
    <t>Manajemen Layanan TI  (1 JP)</t>
  </si>
  <si>
    <t>Pengolahan Data (1 JP)</t>
  </si>
  <si>
    <t>Area TI Spesial (1 JP)</t>
  </si>
  <si>
    <t>Pungki Restia</t>
  </si>
  <si>
    <t>Penjelasan dan Praktek LMS Warkop (2 jp)</t>
  </si>
  <si>
    <t>Sistem Jaringan Komputer (1 JP)</t>
  </si>
  <si>
    <t>Sistem Informasi (1 JP)</t>
  </si>
  <si>
    <t>Audit TI (1 JP)</t>
  </si>
  <si>
    <t>Yunarti Puji</t>
  </si>
  <si>
    <t>Pembuatan Dokumentasi dan Laporan (1 JP)</t>
  </si>
  <si>
    <t>Sistem Penilaian dan Administrasi Pranata Komputer (1 JP)</t>
  </si>
  <si>
    <t>Manajemen Infrastruktur TI  (1 JP)</t>
  </si>
  <si>
    <t>JP</t>
  </si>
  <si>
    <t>Pengajar</t>
  </si>
  <si>
    <t>Penugasan</t>
  </si>
  <si>
    <t>Tahap 2</t>
  </si>
  <si>
    <t>PEMBELAJARAN TATAP MUKA ON LINE (TMO)</t>
  </si>
  <si>
    <t>Pembukaan</t>
  </si>
  <si>
    <t>Sistem Penilaian dan Administrasi Prakom (4 jp)</t>
  </si>
  <si>
    <t>Pengelolaan Data (4 jp)</t>
  </si>
  <si>
    <t>Sistem Jaringan Komputer (4 JP)</t>
  </si>
  <si>
    <t>Sistem Informasi (3 JP)</t>
  </si>
  <si>
    <t>Ceramah Kebijakan Pimpinan (2 jp)</t>
  </si>
  <si>
    <t>Meiti</t>
  </si>
  <si>
    <t>Yeni Rimawati</t>
  </si>
  <si>
    <t>Nia Dwi Rahayuningtyas</t>
  </si>
  <si>
    <t>Andrian Widihastanto</t>
  </si>
  <si>
    <t>Ka Pusdiklat</t>
  </si>
  <si>
    <t>Penjelasan Laboratorium Prakom (3 jp)</t>
  </si>
  <si>
    <t>Asynchronous</t>
  </si>
  <si>
    <t>Building Learning Commitment (3 jp)</t>
  </si>
  <si>
    <t>Audit TI (2 jp)</t>
  </si>
  <si>
    <t>Pengolahan Data (3 jp)</t>
  </si>
  <si>
    <t>Manajemen Layanan TI (2 jp)</t>
  </si>
  <si>
    <t>Very Basuki</t>
  </si>
  <si>
    <t>Rohayati</t>
  </si>
  <si>
    <t>Khairiyah Rizkiyah</t>
  </si>
  <si>
    <t>Argo Wahyu</t>
  </si>
  <si>
    <t>Herman Saputra</t>
  </si>
  <si>
    <t xml:space="preserve">PRE TEST  </t>
  </si>
  <si>
    <t>PIKET</t>
  </si>
  <si>
    <t>Manajemen Infrastruktur TI (4 jp)</t>
  </si>
  <si>
    <t>Pengembangan Profesi dan Penunjang (4 jp)</t>
  </si>
  <si>
    <t>Pembuatan Dokumentasi dan Pelaporan (4 jp)</t>
  </si>
  <si>
    <t>Pembekalan Laboratorium Prakom (3 jp)</t>
  </si>
  <si>
    <t>Renny Indah Wardhani</t>
  </si>
  <si>
    <t>Erwin Tanur</t>
  </si>
  <si>
    <t>Fahrizal</t>
  </si>
  <si>
    <t>Kurnia Adhiwibowo</t>
  </si>
  <si>
    <t>KOMPREHENSIF (3 jp)</t>
  </si>
  <si>
    <t>Area TI Spesial (2 jp)</t>
  </si>
  <si>
    <t>POST TEST</t>
  </si>
  <si>
    <t>Achmad Muchlis Abdi Putra</t>
  </si>
  <si>
    <t>Tahap 3</t>
  </si>
  <si>
    <t>LABORATORIUM PRAKOM - DIUNIT KERJA</t>
  </si>
  <si>
    <t>IMPLEMENTASI DI UNIT KERJA</t>
  </si>
  <si>
    <t>Coaching (3 jp)</t>
  </si>
  <si>
    <t>Utama Andri, Else Huslijah,Novianto Budi Kurniawan,  Alfatihah Reno Maulani NSPM</t>
  </si>
  <si>
    <t>Tahap 4</t>
  </si>
  <si>
    <t>SEMINAR LABORATORIUM PRAKOM - TATAP MUKA KLASIKAL</t>
  </si>
  <si>
    <t>Jum'at</t>
  </si>
  <si>
    <t>Ceramah Kebijakan E-Government (2 jp)</t>
  </si>
  <si>
    <t>Penguatan Materi Agenda 2 dan 3 (5 jp)</t>
  </si>
  <si>
    <t>Seminar Laboratorium Prakom (7 jp)</t>
  </si>
  <si>
    <t xml:space="preserve">Review Penyelenggaraan Pelatihan (3 jp)  </t>
  </si>
  <si>
    <t>Pimpinan BKPSDM Prov.Jateng</t>
  </si>
  <si>
    <t>Utama Andri Arjita</t>
  </si>
  <si>
    <t>Penguji : Daud, Syarif Hidayat, Ria Uli Sitanggang, Rinaldo</t>
  </si>
  <si>
    <t>MTSL (3 jp)</t>
  </si>
  <si>
    <t>Diskominfo Jateng</t>
  </si>
  <si>
    <t>PENUTUPAN</t>
  </si>
  <si>
    <t>perjadin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</si>
</sst>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"/>
    <numFmt numFmtId="165" formatCode="dd\ mmm\ yy"/>
    <numFmt numFmtId="166" formatCode="[$-421]dd\ mmmm\ yyyy;@"/>
  </numFmts>
  <fonts count="1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44546A"/>
        <bgColor rgb="FF44546A"/>
      </patternFill>
    </fill>
    <fill>
      <patternFill patternType="solid">
        <fgColor rgb="FFFF0000"/>
        <bgColor rgb="FF44546A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B4C6E7"/>
      </patternFill>
    </fill>
    <fill>
      <patternFill patternType="solid">
        <fgColor rgb="FFC55A11"/>
        <bgColor rgb="FFC55A11"/>
      </patternFill>
    </fill>
    <fill>
      <patternFill patternType="solid">
        <fgColor rgb="FFDADADA"/>
        <bgColor rgb="FFDADADA"/>
      </patternFill>
    </fill>
    <fill>
      <patternFill patternType="solid">
        <fgColor theme="7" tint="0.59999389629810485"/>
        <bgColor rgb="FFC5E0B3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9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2" borderId="0" xfId="1" applyFont="1" applyFill="1" applyAlignment="1">
      <alignment horizontal="center" vertical="center"/>
    </xf>
    <xf numFmtId="49" fontId="6" fillId="4" borderId="4" xfId="1" applyNumberFormat="1" applyFont="1" applyFill="1" applyBorder="1" applyAlignment="1">
      <alignment horizontal="center" vertical="center" wrapText="1"/>
    </xf>
    <xf numFmtId="49" fontId="6" fillId="5" borderId="4" xfId="1" applyNumberFormat="1" applyFont="1" applyFill="1" applyBorder="1" applyAlignment="1">
      <alignment horizontal="center" vertical="center" wrapText="1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7" borderId="4" xfId="1" applyNumberFormat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7" fillId="8" borderId="6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10" borderId="5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6" fillId="8" borderId="6" xfId="1" applyFont="1" applyFill="1" applyBorder="1" applyAlignment="1">
      <alignment horizontal="center" vertical="center" wrapText="1"/>
    </xf>
    <xf numFmtId="0" fontId="8" fillId="11" borderId="7" xfId="1" applyFont="1" applyFill="1" applyBorder="1" applyAlignment="1">
      <alignment horizontal="center" vertical="center" wrapText="1"/>
    </xf>
    <xf numFmtId="0" fontId="7" fillId="8" borderId="0" xfId="1" applyFont="1" applyFill="1" applyAlignment="1">
      <alignment horizontal="center" vertical="center" wrapText="1"/>
    </xf>
    <xf numFmtId="0" fontId="8" fillId="11" borderId="10" xfId="1" applyFont="1" applyFill="1" applyBorder="1" applyAlignment="1">
      <alignment horizontal="center" vertical="center" wrapText="1"/>
    </xf>
    <xf numFmtId="0" fontId="7" fillId="8" borderId="7" xfId="1" applyFont="1" applyFill="1" applyBorder="1" applyAlignment="1">
      <alignment horizontal="center" vertical="center" wrapText="1"/>
    </xf>
    <xf numFmtId="0" fontId="8" fillId="12" borderId="4" xfId="1" applyFont="1" applyFill="1" applyBorder="1" applyAlignment="1">
      <alignment horizontal="center" vertical="center" wrapText="1"/>
    </xf>
    <xf numFmtId="0" fontId="8" fillId="13" borderId="4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4" fillId="14" borderId="5" xfId="1" applyFont="1" applyFill="1" applyBorder="1" applyAlignment="1">
      <alignment vertical="center" wrapText="1"/>
    </xf>
    <xf numFmtId="0" fontId="4" fillId="14" borderId="6" xfId="1" applyFont="1" applyFill="1" applyBorder="1" applyAlignment="1">
      <alignment vertical="center" wrapText="1"/>
    </xf>
    <xf numFmtId="0" fontId="2" fillId="15" borderId="0" xfId="1" applyFill="1"/>
    <xf numFmtId="0" fontId="8" fillId="11" borderId="6" xfId="1" applyFont="1" applyFill="1" applyBorder="1" applyAlignment="1">
      <alignment horizontal="center" vertical="center" wrapText="1"/>
    </xf>
    <xf numFmtId="0" fontId="2" fillId="15" borderId="6" xfId="1" applyFill="1" applyBorder="1"/>
    <xf numFmtId="0" fontId="2" fillId="15" borderId="7" xfId="1" applyFill="1" applyBorder="1"/>
    <xf numFmtId="0" fontId="8" fillId="14" borderId="7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13" xfId="1" applyNumberFormat="1" applyFont="1" applyBorder="1" applyAlignment="1">
      <alignment vertical="center" wrapText="1"/>
    </xf>
    <xf numFmtId="49" fontId="4" fillId="11" borderId="4" xfId="1" applyNumberFormat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49" fontId="4" fillId="0" borderId="14" xfId="1" applyNumberFormat="1" applyFont="1" applyBorder="1" applyAlignment="1">
      <alignment horizontal="center" vertical="center" wrapText="1"/>
    </xf>
    <xf numFmtId="165" fontId="11" fillId="16" borderId="0" xfId="2" applyNumberFormat="1" applyFont="1" applyFill="1" applyAlignment="1">
      <alignment horizontal="center" vertical="center" wrapText="1"/>
    </xf>
    <xf numFmtId="49" fontId="11" fillId="0" borderId="0" xfId="2" applyNumberFormat="1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0" xfId="2" applyFont="1" applyAlignment="1">
      <alignment vertical="center" wrapText="1"/>
    </xf>
    <xf numFmtId="165" fontId="11" fillId="0" borderId="0" xfId="2" applyNumberFormat="1" applyFont="1" applyAlignment="1">
      <alignment horizontal="center" vertical="center" wrapText="1"/>
    </xf>
    <xf numFmtId="49" fontId="1" fillId="18" borderId="15" xfId="2" applyNumberFormat="1" applyFont="1" applyFill="1" applyBorder="1" applyAlignment="1">
      <alignment horizontal="center" vertical="center" wrapText="1"/>
    </xf>
    <xf numFmtId="165" fontId="11" fillId="0" borderId="0" xfId="2" applyNumberFormat="1" applyFont="1" applyAlignment="1">
      <alignment vertical="center" wrapText="1"/>
    </xf>
    <xf numFmtId="166" fontId="11" fillId="19" borderId="15" xfId="2" applyNumberFormat="1" applyFont="1" applyFill="1" applyBorder="1" applyAlignment="1">
      <alignment horizontal="center" vertical="center" wrapText="1"/>
    </xf>
    <xf numFmtId="166" fontId="11" fillId="0" borderId="0" xfId="2" applyNumberFormat="1" applyFont="1" applyAlignment="1">
      <alignment horizontal="center" vertical="center" wrapText="1"/>
    </xf>
    <xf numFmtId="0" fontId="1" fillId="20" borderId="9" xfId="1" applyFont="1" applyFill="1" applyBorder="1" applyAlignment="1">
      <alignment horizontal="center" vertical="center" wrapText="1"/>
    </xf>
    <xf numFmtId="0" fontId="1" fillId="0" borderId="9" xfId="1" applyFont="1" applyBorder="1" applyAlignment="1">
      <alignment vertical="center" wrapText="1"/>
    </xf>
    <xf numFmtId="49" fontId="11" fillId="0" borderId="9" xfId="2" applyNumberFormat="1" applyFont="1" applyBorder="1" applyAlignment="1">
      <alignment vertical="center"/>
    </xf>
    <xf numFmtId="0" fontId="13" fillId="15" borderId="9" xfId="2" applyFont="1" applyFill="1" applyBorder="1" applyAlignment="1">
      <alignment horizontal="center" vertical="center" wrapText="1"/>
    </xf>
    <xf numFmtId="49" fontId="11" fillId="15" borderId="9" xfId="2" applyNumberFormat="1" applyFont="1" applyFill="1" applyBorder="1" applyAlignment="1">
      <alignment vertical="center" wrapText="1"/>
    </xf>
    <xf numFmtId="49" fontId="11" fillId="0" borderId="9" xfId="2" applyNumberFormat="1" applyFont="1" applyBorder="1" applyAlignment="1">
      <alignment horizontal="center" vertical="center"/>
    </xf>
    <xf numFmtId="49" fontId="11" fillId="15" borderId="9" xfId="2" applyNumberFormat="1" applyFont="1" applyFill="1" applyBorder="1" applyAlignment="1">
      <alignment horizontal="center" vertical="center"/>
    </xf>
    <xf numFmtId="0" fontId="11" fillId="15" borderId="16" xfId="2" applyFont="1" applyFill="1" applyBorder="1" applyAlignment="1">
      <alignment horizontal="center" vertical="center" wrapText="1"/>
    </xf>
    <xf numFmtId="0" fontId="1" fillId="15" borderId="17" xfId="1" applyFont="1" applyFill="1" applyBorder="1" applyAlignment="1">
      <alignment vertical="center" wrapText="1"/>
    </xf>
    <xf numFmtId="0" fontId="13" fillId="15" borderId="17" xfId="2" applyFont="1" applyFill="1" applyBorder="1" applyAlignment="1">
      <alignment horizontal="center" vertical="center" wrapText="1"/>
    </xf>
    <xf numFmtId="49" fontId="11" fillId="15" borderId="17" xfId="2" applyNumberFormat="1" applyFont="1" applyFill="1" applyBorder="1" applyAlignment="1">
      <alignment horizontal="center" vertical="center" wrapText="1"/>
    </xf>
    <xf numFmtId="49" fontId="11" fillId="0" borderId="17" xfId="2" applyNumberFormat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1" fillId="20" borderId="9" xfId="1" applyFont="1" applyFill="1" applyBorder="1" applyAlignment="1">
      <alignment horizontal="center" vertical="center" wrapText="1"/>
    </xf>
    <xf numFmtId="0" fontId="1" fillId="20" borderId="17" xfId="1" applyFont="1" applyFill="1" applyBorder="1" applyAlignment="1">
      <alignment horizontal="center" vertical="center" wrapText="1"/>
    </xf>
    <xf numFmtId="49" fontId="11" fillId="15" borderId="9" xfId="2" applyNumberFormat="1" applyFont="1" applyFill="1" applyBorder="1" applyAlignment="1">
      <alignment horizontal="center" vertical="center" wrapText="1"/>
    </xf>
    <xf numFmtId="0" fontId="6" fillId="8" borderId="6" xfId="1" applyFont="1" applyFill="1" applyBorder="1" applyAlignment="1">
      <alignment horizontal="center" vertical="center" wrapText="1"/>
    </xf>
    <xf numFmtId="0" fontId="5" fillId="0" borderId="7" xfId="1" applyFont="1" applyBorder="1"/>
    <xf numFmtId="49" fontId="11" fillId="17" borderId="15" xfId="2" applyNumberFormat="1" applyFont="1" applyFill="1" applyBorder="1" applyAlignment="1">
      <alignment horizontal="center" vertical="center" wrapText="1"/>
    </xf>
    <xf numFmtId="0" fontId="11" fillId="15" borderId="16" xfId="2" applyFont="1" applyFill="1" applyBorder="1" applyAlignment="1">
      <alignment horizontal="center" vertical="center" wrapText="1"/>
    </xf>
    <xf numFmtId="0" fontId="11" fillId="15" borderId="9" xfId="2" applyFont="1" applyFill="1" applyBorder="1" applyAlignment="1">
      <alignment horizontal="center" vertical="center" wrapText="1"/>
    </xf>
    <xf numFmtId="49" fontId="11" fillId="15" borderId="16" xfId="2" applyNumberFormat="1" applyFont="1" applyFill="1" applyBorder="1" applyAlignment="1">
      <alignment horizontal="center" vertical="center" wrapText="1"/>
    </xf>
    <xf numFmtId="49" fontId="11" fillId="0" borderId="16" xfId="2" applyNumberFormat="1" applyFont="1" applyBorder="1" applyAlignment="1">
      <alignment horizontal="center" vertical="center" wrapText="1"/>
    </xf>
    <xf numFmtId="49" fontId="11" fillId="0" borderId="9" xfId="2" applyNumberFormat="1" applyFont="1" applyBorder="1" applyAlignment="1">
      <alignment horizontal="center" vertical="center" wrapText="1"/>
    </xf>
    <xf numFmtId="49" fontId="4" fillId="11" borderId="5" xfId="1" applyNumberFormat="1" applyFont="1" applyFill="1" applyBorder="1" applyAlignment="1">
      <alignment horizontal="center" vertical="center" wrapText="1"/>
    </xf>
    <xf numFmtId="0" fontId="5" fillId="0" borderId="6" xfId="1" applyFont="1" applyBorder="1"/>
    <xf numFmtId="165" fontId="4" fillId="0" borderId="0" xfId="1" applyNumberFormat="1" applyFont="1" applyAlignment="1">
      <alignment horizontal="center" vertical="center" wrapText="1"/>
    </xf>
    <xf numFmtId="0" fontId="2" fillId="0" borderId="0" xfId="1"/>
    <xf numFmtId="0" fontId="4" fillId="11" borderId="6" xfId="1" applyFont="1" applyFill="1" applyBorder="1" applyAlignment="1">
      <alignment horizontal="center" vertical="center" wrapText="1"/>
    </xf>
    <xf numFmtId="0" fontId="4" fillId="11" borderId="11" xfId="1" applyFont="1" applyFill="1" applyBorder="1" applyAlignment="1">
      <alignment horizontal="center" vertical="center" wrapText="1"/>
    </xf>
    <xf numFmtId="0" fontId="4" fillId="11" borderId="5" xfId="1" applyFont="1" applyFill="1" applyBorder="1" applyAlignment="1">
      <alignment horizontal="center" vertical="center" wrapText="1"/>
    </xf>
    <xf numFmtId="0" fontId="8" fillId="11" borderId="12" xfId="1" applyFont="1" applyFill="1" applyBorder="1" applyAlignment="1">
      <alignment horizontal="center" vertical="center" wrapText="1"/>
    </xf>
    <xf numFmtId="0" fontId="8" fillId="11" borderId="7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/>
    <xf numFmtId="0" fontId="5" fillId="0" borderId="3" xfId="1" applyFont="1" applyBorder="1"/>
    <xf numFmtId="0" fontId="7" fillId="8" borderId="6" xfId="1" applyFont="1" applyFill="1" applyBorder="1" applyAlignment="1">
      <alignment horizontal="center" vertical="center" wrapText="1"/>
    </xf>
    <xf numFmtId="0" fontId="4" fillId="11" borderId="8" xfId="1" applyFont="1" applyFill="1" applyBorder="1" applyAlignment="1">
      <alignment horizontal="center" vertical="center" wrapText="1"/>
    </xf>
    <xf numFmtId="0" fontId="4" fillId="11" borderId="10" xfId="1" applyFont="1" applyFill="1" applyBorder="1" applyAlignment="1">
      <alignment horizontal="center" vertical="center" wrapText="1"/>
    </xf>
    <xf numFmtId="0" fontId="4" fillId="11" borderId="9" xfId="1" applyFont="1" applyFill="1" applyBorder="1" applyAlignment="1">
      <alignment horizontal="center" vertical="center" wrapText="1"/>
    </xf>
    <xf numFmtId="49" fontId="4" fillId="11" borderId="6" xfId="1" applyNumberFormat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3">
    <cellStyle name="Normal" xfId="0" builtinId="0"/>
    <cellStyle name="Normal 2 3" xfId="1" xr:uid="{8B495944-E8F4-3B47-8355-5C0DC0CF2D71}"/>
    <cellStyle name="Normal_jadwal global fsa 08_Jadual PK BPS  2009" xfId="2" xr:uid="{442C3B56-907F-B549-8DDB-5972C09B9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C6F4-85AA-434F-962D-339DED0F1E78}">
  <dimension ref="A1:T1001"/>
  <sheetViews>
    <sheetView showGridLines="0" tabSelected="1" view="pageBreakPreview" zoomScale="55" zoomScaleNormal="110" zoomScaleSheetLayoutView="55" workbookViewId="0">
      <selection activeCell="B1" sqref="B1:F1"/>
    </sheetView>
  </sheetViews>
  <sheetFormatPr defaultColWidth="16.5" defaultRowHeight="15" customHeight="1" x14ac:dyDescent="0.25"/>
  <cols>
    <col min="1" max="1" width="12" style="3" customWidth="1"/>
    <col min="2" max="2" width="38.375" style="3" customWidth="1"/>
    <col min="3" max="3" width="34.375" style="3" customWidth="1"/>
    <col min="4" max="4" width="36.5" style="3" customWidth="1"/>
    <col min="5" max="5" width="39.5" style="3" customWidth="1"/>
    <col min="6" max="6" width="35.5" style="3" customWidth="1"/>
    <col min="7" max="7" width="16.5" style="3" customWidth="1"/>
    <col min="8" max="8" width="16.5" style="19" customWidth="1"/>
    <col min="9" max="20" width="16.5" style="3" customWidth="1"/>
    <col min="21" max="16384" width="16.5" style="3"/>
  </cols>
  <sheetData>
    <row r="1" spans="1:20" ht="26.25" customHeight="1" thickBot="1" x14ac:dyDescent="0.3">
      <c r="A1" s="1"/>
      <c r="B1" s="96" t="s">
        <v>0</v>
      </c>
      <c r="C1" s="79"/>
      <c r="D1" s="79"/>
      <c r="E1" s="79"/>
      <c r="F1" s="79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5" hidden="1" customHeight="1" thickBot="1" x14ac:dyDescent="0.3">
      <c r="A2" s="4" t="s">
        <v>1</v>
      </c>
      <c r="B2" s="5"/>
      <c r="C2" s="5"/>
      <c r="D2" s="5"/>
      <c r="E2" s="5"/>
      <c r="F2" s="5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8.5" customHeight="1" thickBot="1" x14ac:dyDescent="0.3">
      <c r="A3" s="6" t="s">
        <v>2</v>
      </c>
      <c r="B3" s="95" t="s">
        <v>3</v>
      </c>
      <c r="C3" s="86"/>
      <c r="D3" s="86"/>
      <c r="E3" s="86"/>
      <c r="F3" s="87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3.25" customHeight="1" thickBot="1" x14ac:dyDescent="0.3">
      <c r="A4" s="1"/>
      <c r="B4" s="7" t="s">
        <v>4</v>
      </c>
      <c r="C4" s="7" t="s">
        <v>5</v>
      </c>
      <c r="D4" s="7" t="s">
        <v>6</v>
      </c>
      <c r="E4" s="8" t="s">
        <v>7</v>
      </c>
      <c r="F4" s="7" t="s">
        <v>8</v>
      </c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 thickBot="1" x14ac:dyDescent="0.3">
      <c r="A5" s="1"/>
      <c r="B5" s="9">
        <v>45194</v>
      </c>
      <c r="C5" s="9">
        <f t="shared" ref="C5:F5" si="0">B5+1</f>
        <v>45195</v>
      </c>
      <c r="D5" s="9">
        <f t="shared" si="0"/>
        <v>45196</v>
      </c>
      <c r="E5" s="10">
        <f t="shared" si="0"/>
        <v>45197</v>
      </c>
      <c r="F5" s="9">
        <f t="shared" si="0"/>
        <v>45198</v>
      </c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7.75" customHeight="1" x14ac:dyDescent="0.25">
      <c r="A6" s="1"/>
      <c r="B6" s="11" t="s">
        <v>9</v>
      </c>
      <c r="C6" s="93" t="s">
        <v>10</v>
      </c>
      <c r="D6" s="93" t="s">
        <v>11</v>
      </c>
      <c r="E6" s="94" t="s">
        <v>12</v>
      </c>
      <c r="F6" s="93" t="s">
        <v>13</v>
      </c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7.75" customHeight="1" thickBot="1" x14ac:dyDescent="0.3">
      <c r="A7" s="1"/>
      <c r="B7" s="12" t="s">
        <v>14</v>
      </c>
      <c r="C7" s="77"/>
      <c r="D7" s="77"/>
      <c r="E7" s="77"/>
      <c r="F7" s="77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33" customHeight="1" thickBot="1" x14ac:dyDescent="0.3">
      <c r="A8" s="1"/>
      <c r="B8" s="13" t="s">
        <v>15</v>
      </c>
      <c r="C8" s="94" t="s">
        <v>16</v>
      </c>
      <c r="D8" s="94" t="s">
        <v>17</v>
      </c>
      <c r="E8" s="94" t="s">
        <v>18</v>
      </c>
      <c r="F8" s="69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7.75" customHeight="1" thickBot="1" x14ac:dyDescent="0.3">
      <c r="A9" s="1"/>
      <c r="B9" s="12" t="s">
        <v>19</v>
      </c>
      <c r="C9" s="77"/>
      <c r="D9" s="77"/>
      <c r="E9" s="77"/>
      <c r="F9" s="94" t="s">
        <v>20</v>
      </c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7.75" customHeight="1" x14ac:dyDescent="0.25">
      <c r="A10" s="1"/>
      <c r="B10" s="93" t="s">
        <v>21</v>
      </c>
      <c r="C10" s="94" t="s">
        <v>22</v>
      </c>
      <c r="D10" s="94"/>
      <c r="E10" s="94"/>
      <c r="F10" s="77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7.75" customHeight="1" thickBot="1" x14ac:dyDescent="0.3">
      <c r="A11" s="1"/>
      <c r="B11" s="77"/>
      <c r="C11" s="77"/>
      <c r="D11" s="77"/>
      <c r="E11" s="77"/>
      <c r="F11" s="69"/>
      <c r="G11" s="1"/>
      <c r="H11" s="2" t="s">
        <v>23</v>
      </c>
      <c r="I11" s="2" t="s">
        <v>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.75" customHeight="1" thickBot="1" x14ac:dyDescent="0.3">
      <c r="A12" s="1"/>
      <c r="B12" s="14" t="s">
        <v>25</v>
      </c>
      <c r="C12" s="14" t="s">
        <v>25</v>
      </c>
      <c r="D12" s="14" t="s">
        <v>25</v>
      </c>
      <c r="E12" s="14" t="s">
        <v>25</v>
      </c>
      <c r="F12" s="14" t="s">
        <v>25</v>
      </c>
      <c r="G12" s="1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customHeight="1" thickBot="1" x14ac:dyDescent="0.3">
      <c r="A13" s="15"/>
      <c r="B13" s="16">
        <v>5</v>
      </c>
      <c r="G13" s="15"/>
      <c r="H13" s="17">
        <f>SUM(B13:F13)</f>
        <v>5</v>
      </c>
      <c r="I13" s="17">
        <f>H13</f>
        <v>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24.75" customHeight="1" thickBot="1" x14ac:dyDescent="0.3">
      <c r="A14" s="6" t="s">
        <v>26</v>
      </c>
      <c r="B14" s="95" t="s">
        <v>27</v>
      </c>
      <c r="C14" s="86"/>
      <c r="D14" s="86"/>
      <c r="E14" s="86"/>
      <c r="F14" s="87"/>
      <c r="G14" s="15"/>
      <c r="H14" s="17"/>
      <c r="I14" s="17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24.75" customHeight="1" thickBot="1" x14ac:dyDescent="0.3">
      <c r="A15" s="15"/>
      <c r="B15" s="7" t="s">
        <v>4</v>
      </c>
      <c r="C15" s="7" t="s">
        <v>5</v>
      </c>
      <c r="D15" s="7" t="s">
        <v>6</v>
      </c>
      <c r="E15" s="7" t="s">
        <v>7</v>
      </c>
      <c r="F15" s="7" t="s">
        <v>8</v>
      </c>
      <c r="G15" s="15"/>
      <c r="H15" s="17"/>
      <c r="I15" s="17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24.75" customHeight="1" thickBot="1" x14ac:dyDescent="0.3">
      <c r="A16" s="15"/>
      <c r="B16" s="9">
        <f>B5+7</f>
        <v>45201</v>
      </c>
      <c r="C16" s="9">
        <f>C5+7</f>
        <v>45202</v>
      </c>
      <c r="D16" s="9">
        <f>D5+7</f>
        <v>45203</v>
      </c>
      <c r="E16" s="9">
        <f>E5+7</f>
        <v>45204</v>
      </c>
      <c r="F16" s="9">
        <f>F5+7</f>
        <v>45205</v>
      </c>
      <c r="G16" s="15"/>
      <c r="H16" s="17"/>
      <c r="I16" s="17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8" customHeight="1" x14ac:dyDescent="0.25">
      <c r="B17" s="18" t="s">
        <v>28</v>
      </c>
      <c r="C17" s="80" t="s">
        <v>29</v>
      </c>
      <c r="D17" s="82" t="s">
        <v>30</v>
      </c>
      <c r="E17" s="82" t="s">
        <v>31</v>
      </c>
      <c r="F17" s="76" t="s">
        <v>32</v>
      </c>
      <c r="G17" s="15"/>
      <c r="I17" s="1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24.75" customHeight="1" x14ac:dyDescent="0.25">
      <c r="B18" s="80" t="s">
        <v>33</v>
      </c>
      <c r="C18" s="77"/>
      <c r="D18" s="80"/>
      <c r="E18" s="80"/>
      <c r="F18" s="92"/>
      <c r="G18" s="15"/>
      <c r="I18" s="17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8.600000000000001" customHeight="1" thickBot="1" x14ac:dyDescent="0.3">
      <c r="B19" s="80"/>
      <c r="C19" s="12" t="s">
        <v>34</v>
      </c>
      <c r="D19" s="12" t="s">
        <v>35</v>
      </c>
      <c r="E19" s="12" t="s">
        <v>36</v>
      </c>
      <c r="F19" s="12" t="s">
        <v>37</v>
      </c>
      <c r="G19" s="15"/>
      <c r="I19" s="17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24.75" customHeight="1" thickBot="1" x14ac:dyDescent="0.3">
      <c r="A20" s="15"/>
      <c r="B20" s="20" t="s">
        <v>38</v>
      </c>
      <c r="C20" s="89" t="s">
        <v>39</v>
      </c>
      <c r="D20" s="21" t="s">
        <v>40</v>
      </c>
      <c r="E20" s="21" t="s">
        <v>40</v>
      </c>
      <c r="F20" s="21" t="s">
        <v>40</v>
      </c>
      <c r="G20" s="15"/>
      <c r="I20" s="17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8.600000000000001" customHeight="1" x14ac:dyDescent="0.25">
      <c r="A21" s="15"/>
      <c r="B21" s="91" t="s">
        <v>41</v>
      </c>
      <c r="C21" s="90"/>
      <c r="D21" s="82" t="s">
        <v>42</v>
      </c>
      <c r="E21" s="76" t="s">
        <v>43</v>
      </c>
      <c r="F21" s="82" t="s">
        <v>44</v>
      </c>
      <c r="G21" s="15"/>
      <c r="H21" s="17"/>
      <c r="I21" s="17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24.75" customHeight="1" x14ac:dyDescent="0.25">
      <c r="A22" s="15"/>
      <c r="B22" s="91"/>
      <c r="C22" s="22" t="s">
        <v>45</v>
      </c>
      <c r="D22" s="80"/>
      <c r="E22" s="92"/>
      <c r="F22" s="80"/>
      <c r="G22" s="15"/>
      <c r="H22" s="17"/>
      <c r="I22" s="17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24.75" customHeight="1" thickBot="1" x14ac:dyDescent="0.3">
      <c r="A23" s="15"/>
      <c r="B23" s="12" t="s">
        <v>46</v>
      </c>
      <c r="C23" s="23"/>
      <c r="D23" s="12" t="s">
        <v>47</v>
      </c>
      <c r="E23" s="24" t="s">
        <v>48</v>
      </c>
      <c r="F23" s="24" t="s">
        <v>49</v>
      </c>
      <c r="G23" s="15"/>
      <c r="H23" s="17"/>
      <c r="I23" s="17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24.75" customHeight="1" thickBot="1" x14ac:dyDescent="0.3">
      <c r="A24" s="15"/>
      <c r="B24" s="25" t="s">
        <v>50</v>
      </c>
      <c r="C24" s="26"/>
      <c r="D24" s="26"/>
      <c r="E24" s="21" t="s">
        <v>40</v>
      </c>
      <c r="F24" s="21"/>
      <c r="G24" s="15"/>
      <c r="H24" s="17"/>
      <c r="I24" s="17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s="28" customFormat="1" ht="24.75" customHeight="1" thickBot="1" x14ac:dyDescent="0.3">
      <c r="A25" s="15" t="s">
        <v>51</v>
      </c>
      <c r="B25" s="27">
        <v>5</v>
      </c>
      <c r="C25" s="27">
        <v>7</v>
      </c>
      <c r="D25" s="27">
        <v>6</v>
      </c>
      <c r="E25" s="27">
        <v>7</v>
      </c>
      <c r="F25" s="27">
        <v>5</v>
      </c>
      <c r="G25" s="15"/>
      <c r="H25" s="17">
        <f>SUM(B25:F25)</f>
        <v>30</v>
      </c>
      <c r="I25" s="17">
        <f>H25-2</f>
        <v>28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24.75" customHeight="1" thickBot="1" x14ac:dyDescent="0.3">
      <c r="A26" s="15"/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15"/>
      <c r="H26" s="17"/>
      <c r="I26" s="17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24.75" customHeight="1" thickBot="1" x14ac:dyDescent="0.3">
      <c r="A27" s="15"/>
      <c r="B27" s="9">
        <f>B16+7</f>
        <v>45208</v>
      </c>
      <c r="C27" s="9">
        <f>C16+7</f>
        <v>45209</v>
      </c>
      <c r="D27" s="9">
        <f>D16+7</f>
        <v>45210</v>
      </c>
      <c r="E27" s="9">
        <f>E16+7</f>
        <v>45211</v>
      </c>
      <c r="F27" s="9">
        <f>F16+7</f>
        <v>45212</v>
      </c>
      <c r="G27" s="15"/>
      <c r="H27" s="17"/>
      <c r="I27" s="17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24.75" customHeight="1" x14ac:dyDescent="0.25">
      <c r="A28" s="15"/>
      <c r="B28" s="82" t="s">
        <v>52</v>
      </c>
      <c r="C28" s="76" t="s">
        <v>53</v>
      </c>
      <c r="D28" s="82" t="s">
        <v>54</v>
      </c>
      <c r="E28" s="82" t="s">
        <v>55</v>
      </c>
      <c r="F28" s="29"/>
      <c r="G28" s="15"/>
      <c r="H28" s="17"/>
      <c r="I28" s="17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24.75" customHeight="1" x14ac:dyDescent="0.25">
      <c r="A29" s="15"/>
      <c r="B29" s="80"/>
      <c r="C29" s="92"/>
      <c r="D29" s="80"/>
      <c r="E29" s="80"/>
      <c r="F29" s="30"/>
      <c r="G29" s="15"/>
      <c r="H29" s="17"/>
      <c r="I29" s="17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24.75" customHeight="1" x14ac:dyDescent="0.25">
      <c r="A30" s="15"/>
      <c r="B30" s="12" t="s">
        <v>56</v>
      </c>
      <c r="C30" s="12" t="s">
        <v>57</v>
      </c>
      <c r="D30" s="12" t="s">
        <v>58</v>
      </c>
      <c r="E30" s="12" t="s">
        <v>59</v>
      </c>
      <c r="F30" s="30"/>
      <c r="G30" s="15"/>
      <c r="H30" s="17"/>
      <c r="I30" s="17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24.75" customHeight="1" thickBot="1" x14ac:dyDescent="0.3">
      <c r="A31" s="15"/>
      <c r="B31" s="21" t="s">
        <v>40</v>
      </c>
      <c r="C31" s="31"/>
      <c r="D31" s="32"/>
      <c r="E31" s="80" t="s">
        <v>60</v>
      </c>
      <c r="F31" s="30"/>
      <c r="G31" s="15"/>
      <c r="H31" s="17"/>
      <c r="I31" s="17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24.75" customHeight="1" thickBot="1" x14ac:dyDescent="0.3">
      <c r="A32" s="15"/>
      <c r="B32" s="33"/>
      <c r="C32" s="82" t="s">
        <v>61</v>
      </c>
      <c r="D32" s="33"/>
      <c r="E32" s="81"/>
      <c r="F32" s="30"/>
      <c r="G32" s="15"/>
      <c r="H32" s="17"/>
      <c r="I32" s="17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24.75" customHeight="1" x14ac:dyDescent="0.25">
      <c r="A33" s="15"/>
      <c r="B33" s="33"/>
      <c r="C33" s="80"/>
      <c r="D33" s="33"/>
      <c r="E33" s="83" t="s">
        <v>62</v>
      </c>
      <c r="F33" s="30"/>
      <c r="G33" s="15"/>
      <c r="H33" s="17"/>
      <c r="I33" s="17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24.75" customHeight="1" thickBot="1" x14ac:dyDescent="0.3">
      <c r="A34" s="15"/>
      <c r="B34" s="34"/>
      <c r="C34" s="24" t="s">
        <v>63</v>
      </c>
      <c r="D34" s="34"/>
      <c r="E34" s="84"/>
      <c r="F34" s="30"/>
      <c r="G34" s="15"/>
      <c r="H34" s="17"/>
      <c r="I34" s="17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24.75" customHeight="1" thickBot="1" x14ac:dyDescent="0.3">
      <c r="A35" s="15"/>
      <c r="B35" s="35"/>
      <c r="C35" s="21" t="s">
        <v>40</v>
      </c>
      <c r="D35" s="35"/>
      <c r="E35" s="35"/>
      <c r="F35" s="35"/>
      <c r="G35" s="15"/>
      <c r="H35" s="17"/>
      <c r="I35" s="17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24.75" customHeight="1" thickBot="1" x14ac:dyDescent="0.3">
      <c r="A36" s="15" t="s">
        <v>51</v>
      </c>
      <c r="B36" s="36">
        <v>4</v>
      </c>
      <c r="C36" s="36">
        <v>6</v>
      </c>
      <c r="D36" s="36">
        <v>4</v>
      </c>
      <c r="E36" s="36">
        <v>3</v>
      </c>
      <c r="F36" s="36"/>
      <c r="G36" s="15"/>
      <c r="H36" s="17">
        <f>SUM(B36:F36)</f>
        <v>17</v>
      </c>
      <c r="I36" s="17">
        <f>H36</f>
        <v>17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24.75" customHeight="1" thickBot="1" x14ac:dyDescent="0.3">
      <c r="A37" s="37" t="s">
        <v>64</v>
      </c>
      <c r="B37" s="85" t="s">
        <v>65</v>
      </c>
      <c r="C37" s="86"/>
      <c r="D37" s="86"/>
      <c r="E37" s="86"/>
      <c r="F37" s="87"/>
      <c r="G37" s="15"/>
      <c r="H37" s="17"/>
      <c r="I37" s="17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21" customHeight="1" thickBot="1" x14ac:dyDescent="0.3">
      <c r="A38" s="38"/>
      <c r="B38" s="7" t="s">
        <v>4</v>
      </c>
      <c r="C38" s="7" t="s">
        <v>5</v>
      </c>
      <c r="D38" s="7" t="s">
        <v>6</v>
      </c>
      <c r="E38" s="7" t="s">
        <v>7</v>
      </c>
      <c r="F38" s="7" t="s">
        <v>8</v>
      </c>
      <c r="G38" s="15"/>
      <c r="H38" s="17"/>
      <c r="I38" s="17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21" customHeight="1" thickBot="1" x14ac:dyDescent="0.3">
      <c r="A39" s="39"/>
      <c r="B39" s="9">
        <f>B27+7</f>
        <v>45215</v>
      </c>
      <c r="C39" s="9">
        <f>C27+7</f>
        <v>45216</v>
      </c>
      <c r="D39" s="9">
        <f>D27+7</f>
        <v>45217</v>
      </c>
      <c r="E39" s="9">
        <f>E27+7</f>
        <v>45218</v>
      </c>
      <c r="F39" s="9">
        <f>F27+7</f>
        <v>45219</v>
      </c>
      <c r="G39" s="15"/>
      <c r="H39" s="17"/>
      <c r="I39" s="17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5.5" customHeight="1" thickBot="1" x14ac:dyDescent="0.3">
      <c r="A40" s="38"/>
      <c r="B40" s="40" t="s">
        <v>66</v>
      </c>
      <c r="C40" s="76" t="s">
        <v>66</v>
      </c>
      <c r="D40" s="76" t="s">
        <v>66</v>
      </c>
      <c r="E40" s="76" t="s">
        <v>66</v>
      </c>
      <c r="F40" s="76" t="s">
        <v>66</v>
      </c>
      <c r="G40" s="15"/>
      <c r="H40" s="17"/>
      <c r="I40" s="17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24.75" customHeight="1" x14ac:dyDescent="0.25">
      <c r="A41" s="38"/>
      <c r="B41" s="32" t="s">
        <v>67</v>
      </c>
      <c r="C41" s="77"/>
      <c r="D41" s="77"/>
      <c r="E41" s="77"/>
      <c r="F41" s="77"/>
      <c r="G41" s="15"/>
      <c r="H41" s="17"/>
      <c r="I41" s="17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24.75" customHeight="1" x14ac:dyDescent="0.25">
      <c r="A42" s="38"/>
      <c r="B42" s="88" t="s">
        <v>68</v>
      </c>
      <c r="C42" s="77"/>
      <c r="D42" s="77"/>
      <c r="E42" s="77"/>
      <c r="F42" s="77"/>
      <c r="G42" s="15"/>
      <c r="H42" s="17"/>
      <c r="I42" s="17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24.75" customHeight="1" thickBot="1" x14ac:dyDescent="0.3">
      <c r="A43" s="38"/>
      <c r="B43" s="69"/>
      <c r="C43" s="69"/>
      <c r="D43" s="69"/>
      <c r="E43" s="69"/>
      <c r="F43" s="69"/>
      <c r="G43" s="15"/>
      <c r="H43" s="17"/>
      <c r="I43" s="17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1" customHeight="1" thickBot="1" x14ac:dyDescent="0.3">
      <c r="A44" s="38"/>
      <c r="B44" s="7" t="s">
        <v>4</v>
      </c>
      <c r="C44" s="7" t="s">
        <v>5</v>
      </c>
      <c r="D44" s="7" t="s">
        <v>6</v>
      </c>
      <c r="E44" s="7" t="s">
        <v>7</v>
      </c>
      <c r="F44" s="7" t="s">
        <v>8</v>
      </c>
      <c r="G44" s="15"/>
      <c r="H44" s="17"/>
      <c r="I44" s="17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1" customHeight="1" thickBot="1" x14ac:dyDescent="0.3">
      <c r="A45" s="38"/>
      <c r="B45" s="9">
        <f t="shared" ref="B45:F45" si="1">B39+7</f>
        <v>45222</v>
      </c>
      <c r="C45" s="9">
        <f t="shared" si="1"/>
        <v>45223</v>
      </c>
      <c r="D45" s="9">
        <f t="shared" si="1"/>
        <v>45224</v>
      </c>
      <c r="E45" s="9">
        <f t="shared" si="1"/>
        <v>45225</v>
      </c>
      <c r="F45" s="9">
        <f t="shared" si="1"/>
        <v>45226</v>
      </c>
      <c r="G45" s="15"/>
      <c r="H45" s="17"/>
      <c r="I45" s="17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25.5" customHeight="1" thickBot="1" x14ac:dyDescent="0.3">
      <c r="A46" s="38"/>
      <c r="B46" s="40" t="s">
        <v>66</v>
      </c>
      <c r="C46" s="76" t="s">
        <v>66</v>
      </c>
      <c r="D46" s="76" t="s">
        <v>66</v>
      </c>
      <c r="E46" s="76" t="s">
        <v>66</v>
      </c>
      <c r="F46" s="76" t="s">
        <v>66</v>
      </c>
      <c r="G46" s="15"/>
      <c r="H46" s="17"/>
      <c r="I46" s="17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24.75" customHeight="1" x14ac:dyDescent="0.25">
      <c r="A47" s="38"/>
      <c r="B47" s="32" t="s">
        <v>67</v>
      </c>
      <c r="C47" s="77"/>
      <c r="D47" s="77"/>
      <c r="E47" s="77"/>
      <c r="F47" s="77"/>
      <c r="G47" s="15"/>
      <c r="H47" s="17"/>
      <c r="I47" s="17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24.75" customHeight="1" x14ac:dyDescent="0.25">
      <c r="A48" s="38"/>
      <c r="B48" s="68" t="str">
        <f>B42</f>
        <v>Utama Andri, Else Huslijah,Novianto Budi Kurniawan,  Alfatihah Reno Maulani NSPM</v>
      </c>
      <c r="C48" s="77"/>
      <c r="D48" s="77"/>
      <c r="E48" s="77"/>
      <c r="F48" s="77"/>
      <c r="G48" s="15"/>
      <c r="H48" s="17"/>
      <c r="I48" s="17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24.75" customHeight="1" thickBot="1" x14ac:dyDescent="0.3">
      <c r="A49" s="38"/>
      <c r="B49" s="69"/>
      <c r="C49" s="69"/>
      <c r="D49" s="69"/>
      <c r="E49" s="69"/>
      <c r="F49" s="69"/>
      <c r="G49" s="15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21" customHeight="1" thickBot="1" x14ac:dyDescent="0.3">
      <c r="A50" s="38"/>
      <c r="B50" s="7" t="s">
        <v>4</v>
      </c>
      <c r="C50" s="7" t="s">
        <v>5</v>
      </c>
      <c r="D50" s="7" t="s">
        <v>6</v>
      </c>
      <c r="E50" s="7" t="s">
        <v>7</v>
      </c>
      <c r="F50" s="7" t="s">
        <v>8</v>
      </c>
      <c r="G50" s="15"/>
      <c r="H50" s="17"/>
      <c r="I50" s="17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21" customHeight="1" thickBot="1" x14ac:dyDescent="0.3">
      <c r="A51" s="78"/>
      <c r="B51" s="9">
        <f t="shared" ref="B51:F51" si="2">B45+7</f>
        <v>45229</v>
      </c>
      <c r="C51" s="9">
        <f t="shared" si="2"/>
        <v>45230</v>
      </c>
      <c r="D51" s="9">
        <f t="shared" si="2"/>
        <v>45231</v>
      </c>
      <c r="E51" s="9">
        <f t="shared" si="2"/>
        <v>45232</v>
      </c>
      <c r="F51" s="9">
        <f t="shared" si="2"/>
        <v>45233</v>
      </c>
      <c r="G51" s="15"/>
      <c r="H51" s="17"/>
      <c r="I51" s="17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25.5" customHeight="1" thickBot="1" x14ac:dyDescent="0.3">
      <c r="A52" s="79"/>
      <c r="B52" s="40" t="s">
        <v>66</v>
      </c>
      <c r="C52" s="76" t="s">
        <v>66</v>
      </c>
      <c r="D52" s="76" t="s">
        <v>66</v>
      </c>
      <c r="E52" s="76" t="s">
        <v>66</v>
      </c>
      <c r="F52" s="76" t="s">
        <v>66</v>
      </c>
      <c r="G52" s="15"/>
      <c r="H52" s="17"/>
      <c r="I52" s="17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24.75" customHeight="1" x14ac:dyDescent="0.25">
      <c r="A53" s="79"/>
      <c r="B53" s="32" t="s">
        <v>67</v>
      </c>
      <c r="C53" s="77"/>
      <c r="D53" s="77"/>
      <c r="E53" s="77"/>
      <c r="F53" s="77"/>
      <c r="G53" s="15"/>
      <c r="H53" s="17"/>
      <c r="I53" s="17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24.75" customHeight="1" x14ac:dyDescent="0.25">
      <c r="A54" s="79"/>
      <c r="B54" s="68" t="str">
        <f>B48</f>
        <v>Utama Andri, Else Huslijah,Novianto Budi Kurniawan,  Alfatihah Reno Maulani NSPM</v>
      </c>
      <c r="C54" s="77"/>
      <c r="D54" s="77"/>
      <c r="E54" s="77"/>
      <c r="F54" s="77"/>
      <c r="G54" s="15"/>
      <c r="H54" s="17"/>
      <c r="I54" s="17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24.75" customHeight="1" thickBot="1" x14ac:dyDescent="0.3">
      <c r="A55" s="79"/>
      <c r="B55" s="69"/>
      <c r="C55" s="69"/>
      <c r="D55" s="69"/>
      <c r="E55" s="69"/>
      <c r="F55" s="69"/>
      <c r="G55" s="15"/>
      <c r="H55" s="17"/>
      <c r="I55" s="17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21" customHeight="1" thickBot="1" x14ac:dyDescent="0.3">
      <c r="A56" s="38"/>
      <c r="B56" s="41">
        <v>9</v>
      </c>
      <c r="C56" s="42"/>
      <c r="D56" s="42"/>
      <c r="E56" s="42"/>
      <c r="F56" s="42"/>
      <c r="G56" s="15"/>
      <c r="H56" s="17">
        <f>SUM(B56:F56)</f>
        <v>9</v>
      </c>
      <c r="I56" s="17">
        <f>H56</f>
        <v>9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s="46" customFormat="1" ht="24.95" customHeight="1" thickBot="1" x14ac:dyDescent="0.3">
      <c r="A57" s="43" t="s">
        <v>69</v>
      </c>
      <c r="B57" s="70" t="s">
        <v>70</v>
      </c>
      <c r="C57" s="70"/>
      <c r="D57" s="70"/>
      <c r="E57" s="70"/>
      <c r="F57" s="70"/>
      <c r="G57" s="44"/>
      <c r="H57" s="45"/>
      <c r="I57" s="45"/>
    </row>
    <row r="58" spans="1:20" s="46" customFormat="1" ht="21.6" customHeight="1" thickBot="1" x14ac:dyDescent="0.3">
      <c r="A58" s="47"/>
      <c r="B58" s="48" t="s">
        <v>4</v>
      </c>
      <c r="C58" s="48" t="s">
        <v>5</v>
      </c>
      <c r="D58" s="48" t="s">
        <v>6</v>
      </c>
      <c r="E58" s="48" t="s">
        <v>7</v>
      </c>
      <c r="F58" s="48" t="s">
        <v>71</v>
      </c>
      <c r="G58" s="47"/>
      <c r="H58" s="45"/>
      <c r="I58" s="45"/>
    </row>
    <row r="59" spans="1:20" s="46" customFormat="1" ht="21.6" customHeight="1" thickBot="1" x14ac:dyDescent="0.3">
      <c r="A59" s="49"/>
      <c r="B59" s="50">
        <f>B51+14</f>
        <v>45243</v>
      </c>
      <c r="C59" s="50">
        <f>B59+1</f>
        <v>45244</v>
      </c>
      <c r="D59" s="50">
        <f t="shared" ref="D59:F59" si="3">C59+1</f>
        <v>45245</v>
      </c>
      <c r="E59" s="50">
        <f t="shared" si="3"/>
        <v>45246</v>
      </c>
      <c r="F59" s="50">
        <f t="shared" si="3"/>
        <v>45247</v>
      </c>
      <c r="G59" s="51"/>
      <c r="H59" s="45"/>
      <c r="I59" s="45"/>
    </row>
    <row r="60" spans="1:20" s="46" customFormat="1" ht="30.95" customHeight="1" x14ac:dyDescent="0.25">
      <c r="A60" s="49"/>
      <c r="B60" s="71" t="s">
        <v>72</v>
      </c>
      <c r="C60" s="73" t="s">
        <v>73</v>
      </c>
      <c r="D60" s="73" t="s">
        <v>74</v>
      </c>
      <c r="E60" s="73" t="s">
        <v>75</v>
      </c>
      <c r="F60" s="74"/>
      <c r="G60" s="44"/>
      <c r="H60" s="45"/>
      <c r="I60" s="45"/>
    </row>
    <row r="61" spans="1:20" s="46" customFormat="1" ht="24.95" customHeight="1" x14ac:dyDescent="0.25">
      <c r="A61" s="49"/>
      <c r="B61" s="72"/>
      <c r="C61" s="67"/>
      <c r="D61" s="67"/>
      <c r="E61" s="67"/>
      <c r="F61" s="75"/>
      <c r="G61" s="44"/>
      <c r="H61" s="45"/>
      <c r="I61" s="45"/>
    </row>
    <row r="62" spans="1:20" s="46" customFormat="1" ht="24.95" customHeight="1" x14ac:dyDescent="0.25">
      <c r="A62" s="49"/>
      <c r="B62" s="52" t="s">
        <v>76</v>
      </c>
      <c r="C62" s="52" t="s">
        <v>77</v>
      </c>
      <c r="D62" s="65" t="s">
        <v>78</v>
      </c>
      <c r="E62" s="65" t="s">
        <v>19</v>
      </c>
      <c r="F62" s="53"/>
      <c r="G62" s="44"/>
      <c r="H62" s="45"/>
      <c r="I62" s="45"/>
    </row>
    <row r="63" spans="1:20" s="46" customFormat="1" ht="24.95" customHeight="1" thickBot="1" x14ac:dyDescent="0.3">
      <c r="A63" s="49"/>
      <c r="B63" s="67" t="s">
        <v>79</v>
      </c>
      <c r="C63" s="52" t="s">
        <v>45</v>
      </c>
      <c r="D63" s="66"/>
      <c r="E63" s="66"/>
      <c r="F63" s="54"/>
      <c r="G63" s="44"/>
      <c r="H63" s="45"/>
      <c r="I63" s="45"/>
    </row>
    <row r="64" spans="1:20" s="46" customFormat="1" ht="24.95" customHeight="1" x14ac:dyDescent="0.25">
      <c r="A64" s="49"/>
      <c r="B64" s="67"/>
      <c r="C64" s="55" t="s">
        <v>67</v>
      </c>
      <c r="D64" s="65" t="str">
        <f>B42</f>
        <v>Utama Andri, Else Huslijah,Novianto Budi Kurniawan,  Alfatihah Reno Maulani NSPM</v>
      </c>
      <c r="E64" s="56"/>
      <c r="F64" s="57"/>
      <c r="G64" s="44"/>
      <c r="H64" s="45"/>
      <c r="I64" s="45"/>
    </row>
    <row r="65" spans="1:20" s="46" customFormat="1" ht="24.95" customHeight="1" thickBot="1" x14ac:dyDescent="0.3">
      <c r="A65" s="49"/>
      <c r="B65" s="52" t="s">
        <v>80</v>
      </c>
      <c r="C65" s="65" t="str">
        <f>B42</f>
        <v>Utama Andri, Else Huslijah,Novianto Budi Kurniawan,  Alfatihah Reno Maulani NSPM</v>
      </c>
      <c r="D65" s="65"/>
      <c r="E65" s="58" t="s">
        <v>81</v>
      </c>
      <c r="F65" s="54"/>
      <c r="G65" s="44"/>
      <c r="H65" s="45"/>
      <c r="I65" s="45"/>
    </row>
    <row r="66" spans="1:20" s="46" customFormat="1" ht="15.75" x14ac:dyDescent="0.25">
      <c r="A66" s="49"/>
      <c r="B66" s="59" t="s">
        <v>73</v>
      </c>
      <c r="C66" s="65"/>
      <c r="D66" s="55"/>
      <c r="E66" s="58"/>
      <c r="F66" s="54"/>
      <c r="G66" s="44"/>
      <c r="H66" s="45"/>
      <c r="I66" s="45"/>
    </row>
    <row r="67" spans="1:20" s="46" customFormat="1" ht="24.95" customHeight="1" x14ac:dyDescent="0.25">
      <c r="A67" s="49"/>
      <c r="B67" s="52" t="s">
        <v>77</v>
      </c>
      <c r="C67" s="55"/>
      <c r="D67" s="55"/>
      <c r="E67" s="58"/>
      <c r="F67" s="54"/>
      <c r="G67" s="44"/>
      <c r="H67" s="45"/>
      <c r="I67" s="45"/>
    </row>
    <row r="68" spans="1:20" s="46" customFormat="1" ht="24.95" customHeight="1" x14ac:dyDescent="0.25">
      <c r="A68" s="49"/>
      <c r="B68" s="52" t="s">
        <v>45</v>
      </c>
      <c r="C68" s="55"/>
      <c r="D68" s="55"/>
      <c r="E68" s="58"/>
      <c r="F68" s="54"/>
      <c r="G68" s="44"/>
      <c r="H68" s="45"/>
      <c r="I68" s="45"/>
    </row>
    <row r="69" spans="1:20" s="46" customFormat="1" ht="24.95" customHeight="1" thickBot="1" x14ac:dyDescent="0.3">
      <c r="A69" s="49"/>
      <c r="B69" s="60"/>
      <c r="C69" s="61"/>
      <c r="D69" s="61"/>
      <c r="E69" s="62"/>
      <c r="F69" s="63"/>
      <c r="G69" s="44"/>
      <c r="H69" s="45"/>
      <c r="I69" s="45"/>
    </row>
    <row r="70" spans="1:20" s="28" customFormat="1" ht="18" customHeight="1" x14ac:dyDescent="0.25">
      <c r="B70" s="64">
        <v>10</v>
      </c>
      <c r="C70" s="64">
        <v>8</v>
      </c>
      <c r="D70" s="64">
        <v>8</v>
      </c>
      <c r="E70" s="64">
        <v>3</v>
      </c>
      <c r="F70" s="64"/>
      <c r="H70" s="45">
        <f>SUM(B70:F70)</f>
        <v>29</v>
      </c>
      <c r="I70" s="64">
        <f>H70-5</f>
        <v>24</v>
      </c>
    </row>
    <row r="71" spans="1:20" s="28" customFormat="1" ht="18" customHeight="1" x14ac:dyDescent="0.25">
      <c r="A71" s="28" t="s">
        <v>82</v>
      </c>
      <c r="B71" s="64">
        <v>2</v>
      </c>
      <c r="C71" s="64">
        <v>4</v>
      </c>
      <c r="D71" s="64">
        <v>4</v>
      </c>
      <c r="E71" s="64">
        <v>2</v>
      </c>
      <c r="F71" s="64"/>
      <c r="H71" s="64">
        <f>SUM(H13:H70)</f>
        <v>90</v>
      </c>
      <c r="I71" s="64">
        <f>SUM(I13:I70)</f>
        <v>83</v>
      </c>
    </row>
    <row r="72" spans="1:20" ht="15.75" x14ac:dyDescent="0.25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1"/>
      <c r="B73" s="1">
        <f>4+3+3+3+3+2+2+2+2+2+2</f>
        <v>28</v>
      </c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x14ac:dyDescent="0.2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x14ac:dyDescent="0.25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x14ac:dyDescent="0.25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x14ac:dyDescent="0.25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x14ac:dyDescent="0.25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x14ac:dyDescent="0.25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x14ac:dyDescent="0.25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x14ac:dyDescent="0.25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x14ac:dyDescent="0.25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x14ac:dyDescent="0.25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x14ac:dyDescent="0.2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x14ac:dyDescent="0.25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x14ac:dyDescent="0.25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x14ac:dyDescent="0.25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x14ac:dyDescent="0.25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x14ac:dyDescent="0.25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x14ac:dyDescent="0.25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x14ac:dyDescent="0.25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x14ac:dyDescent="0.25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x14ac:dyDescent="0.25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x14ac:dyDescent="0.2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x14ac:dyDescent="0.25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x14ac:dyDescent="0.25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x14ac:dyDescent="0.25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x14ac:dyDescent="0.25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x14ac:dyDescent="0.25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x14ac:dyDescent="0.25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x14ac:dyDescent="0.25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x14ac:dyDescent="0.25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x14ac:dyDescent="0.25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x14ac:dyDescent="0.2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x14ac:dyDescent="0.25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x14ac:dyDescent="0.25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x14ac:dyDescent="0.25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x14ac:dyDescent="0.25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x14ac:dyDescent="0.25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x14ac:dyDescent="0.25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x14ac:dyDescent="0.25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x14ac:dyDescent="0.25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x14ac:dyDescent="0.25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x14ac:dyDescent="0.2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x14ac:dyDescent="0.25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x14ac:dyDescent="0.25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x14ac:dyDescent="0.25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x14ac:dyDescent="0.25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x14ac:dyDescent="0.25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x14ac:dyDescent="0.25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x14ac:dyDescent="0.25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x14ac:dyDescent="0.25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x14ac:dyDescent="0.25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x14ac:dyDescent="0.2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x14ac:dyDescent="0.25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x14ac:dyDescent="0.25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x14ac:dyDescent="0.25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x14ac:dyDescent="0.25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x14ac:dyDescent="0.25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x14ac:dyDescent="0.25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x14ac:dyDescent="0.25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x14ac:dyDescent="0.25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x14ac:dyDescent="0.25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x14ac:dyDescent="0.2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x14ac:dyDescent="0.25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x14ac:dyDescent="0.25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x14ac:dyDescent="0.25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x14ac:dyDescent="0.25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x14ac:dyDescent="0.25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x14ac:dyDescent="0.25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x14ac:dyDescent="0.25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x14ac:dyDescent="0.25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x14ac:dyDescent="0.25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x14ac:dyDescent="0.2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x14ac:dyDescent="0.25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x14ac:dyDescent="0.25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x14ac:dyDescent="0.25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x14ac:dyDescent="0.25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x14ac:dyDescent="0.25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x14ac:dyDescent="0.25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x14ac:dyDescent="0.25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x14ac:dyDescent="0.25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x14ac:dyDescent="0.25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x14ac:dyDescent="0.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x14ac:dyDescent="0.25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x14ac:dyDescent="0.25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x14ac:dyDescent="0.25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x14ac:dyDescent="0.25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x14ac:dyDescent="0.25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x14ac:dyDescent="0.25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x14ac:dyDescent="0.25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x14ac:dyDescent="0.25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x14ac:dyDescent="0.25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x14ac:dyDescent="0.2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x14ac:dyDescent="0.25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x14ac:dyDescent="0.25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x14ac:dyDescent="0.25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x14ac:dyDescent="0.25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x14ac:dyDescent="0.25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x14ac:dyDescent="0.25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x14ac:dyDescent="0.25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x14ac:dyDescent="0.25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x14ac:dyDescent="0.25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x14ac:dyDescent="0.2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x14ac:dyDescent="0.25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x14ac:dyDescent="0.25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x14ac:dyDescent="0.25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x14ac:dyDescent="0.25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x14ac:dyDescent="0.25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x14ac:dyDescent="0.25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x14ac:dyDescent="0.25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x14ac:dyDescent="0.25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x14ac:dyDescent="0.25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x14ac:dyDescent="0.2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x14ac:dyDescent="0.25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x14ac:dyDescent="0.25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x14ac:dyDescent="0.25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x14ac:dyDescent="0.25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x14ac:dyDescent="0.25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x14ac:dyDescent="0.25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x14ac:dyDescent="0.25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x14ac:dyDescent="0.25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x14ac:dyDescent="0.25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x14ac:dyDescent="0.2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x14ac:dyDescent="0.25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x14ac:dyDescent="0.25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x14ac:dyDescent="0.25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x14ac:dyDescent="0.25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x14ac:dyDescent="0.25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x14ac:dyDescent="0.25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x14ac:dyDescent="0.25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x14ac:dyDescent="0.25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x14ac:dyDescent="0.25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x14ac:dyDescent="0.2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x14ac:dyDescent="0.25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x14ac:dyDescent="0.25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x14ac:dyDescent="0.25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x14ac:dyDescent="0.25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x14ac:dyDescent="0.25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x14ac:dyDescent="0.25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x14ac:dyDescent="0.25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x14ac:dyDescent="0.25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x14ac:dyDescent="0.25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x14ac:dyDescent="0.2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x14ac:dyDescent="0.25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x14ac:dyDescent="0.25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x14ac:dyDescent="0.25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x14ac:dyDescent="0.25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x14ac:dyDescent="0.25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x14ac:dyDescent="0.25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x14ac:dyDescent="0.25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x14ac:dyDescent="0.25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x14ac:dyDescent="0.25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x14ac:dyDescent="0.2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x14ac:dyDescent="0.25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x14ac:dyDescent="0.25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x14ac:dyDescent="0.25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x14ac:dyDescent="0.25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x14ac:dyDescent="0.25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x14ac:dyDescent="0.25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x14ac:dyDescent="0.25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x14ac:dyDescent="0.25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x14ac:dyDescent="0.25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x14ac:dyDescent="0.2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x14ac:dyDescent="0.25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x14ac:dyDescent="0.25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x14ac:dyDescent="0.25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x14ac:dyDescent="0.25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x14ac:dyDescent="0.25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x14ac:dyDescent="0.25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x14ac:dyDescent="0.25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x14ac:dyDescent="0.25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x14ac:dyDescent="0.25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x14ac:dyDescent="0.2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x14ac:dyDescent="0.25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x14ac:dyDescent="0.25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x14ac:dyDescent="0.25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x14ac:dyDescent="0.25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x14ac:dyDescent="0.25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x14ac:dyDescent="0.25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x14ac:dyDescent="0.25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x14ac:dyDescent="0.25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x14ac:dyDescent="0.25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x14ac:dyDescent="0.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x14ac:dyDescent="0.25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x14ac:dyDescent="0.25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x14ac:dyDescent="0.25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x14ac:dyDescent="0.25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x14ac:dyDescent="0.25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x14ac:dyDescent="0.25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x14ac:dyDescent="0.25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x14ac:dyDescent="0.25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x14ac:dyDescent="0.25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x14ac:dyDescent="0.2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x14ac:dyDescent="0.25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x14ac:dyDescent="0.25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x14ac:dyDescent="0.25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x14ac:dyDescent="0.25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x14ac:dyDescent="0.25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x14ac:dyDescent="0.25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x14ac:dyDescent="0.25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x14ac:dyDescent="0.25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x14ac:dyDescent="0.25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x14ac:dyDescent="0.2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x14ac:dyDescent="0.25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x14ac:dyDescent="0.25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x14ac:dyDescent="0.25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x14ac:dyDescent="0.25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x14ac:dyDescent="0.25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x14ac:dyDescent="0.25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x14ac:dyDescent="0.25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x14ac:dyDescent="0.25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x14ac:dyDescent="0.25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x14ac:dyDescent="0.2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x14ac:dyDescent="0.25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x14ac:dyDescent="0.25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x14ac:dyDescent="0.25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x14ac:dyDescent="0.25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x14ac:dyDescent="0.25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x14ac:dyDescent="0.25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x14ac:dyDescent="0.25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x14ac:dyDescent="0.25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x14ac:dyDescent="0.25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x14ac:dyDescent="0.2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x14ac:dyDescent="0.25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x14ac:dyDescent="0.25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x14ac:dyDescent="0.25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x14ac:dyDescent="0.25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x14ac:dyDescent="0.25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x14ac:dyDescent="0.25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x14ac:dyDescent="0.25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x14ac:dyDescent="0.25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x14ac:dyDescent="0.25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x14ac:dyDescent="0.2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x14ac:dyDescent="0.25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x14ac:dyDescent="0.25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x14ac:dyDescent="0.25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x14ac:dyDescent="0.25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x14ac:dyDescent="0.25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x14ac:dyDescent="0.25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x14ac:dyDescent="0.25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x14ac:dyDescent="0.25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x14ac:dyDescent="0.25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x14ac:dyDescent="0.2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x14ac:dyDescent="0.25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x14ac:dyDescent="0.25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x14ac:dyDescent="0.25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x14ac:dyDescent="0.25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x14ac:dyDescent="0.25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x14ac:dyDescent="0.25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x14ac:dyDescent="0.25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x14ac:dyDescent="0.25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x14ac:dyDescent="0.25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x14ac:dyDescent="0.2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x14ac:dyDescent="0.25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x14ac:dyDescent="0.25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x14ac:dyDescent="0.25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x14ac:dyDescent="0.25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x14ac:dyDescent="0.25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x14ac:dyDescent="0.25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x14ac:dyDescent="0.25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x14ac:dyDescent="0.25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x14ac:dyDescent="0.25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x14ac:dyDescent="0.2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x14ac:dyDescent="0.25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x14ac:dyDescent="0.25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x14ac:dyDescent="0.25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x14ac:dyDescent="0.25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x14ac:dyDescent="0.25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x14ac:dyDescent="0.25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x14ac:dyDescent="0.25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x14ac:dyDescent="0.25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x14ac:dyDescent="0.25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x14ac:dyDescent="0.2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x14ac:dyDescent="0.25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x14ac:dyDescent="0.25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x14ac:dyDescent="0.25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x14ac:dyDescent="0.25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x14ac:dyDescent="0.25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x14ac:dyDescent="0.25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x14ac:dyDescent="0.25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x14ac:dyDescent="0.25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x14ac:dyDescent="0.25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x14ac:dyDescent="0.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x14ac:dyDescent="0.25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x14ac:dyDescent="0.25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x14ac:dyDescent="0.25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x14ac:dyDescent="0.25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x14ac:dyDescent="0.25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x14ac:dyDescent="0.25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x14ac:dyDescent="0.25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x14ac:dyDescent="0.25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x14ac:dyDescent="0.25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x14ac:dyDescent="0.2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x14ac:dyDescent="0.25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x14ac:dyDescent="0.25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x14ac:dyDescent="0.25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x14ac:dyDescent="0.25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x14ac:dyDescent="0.25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x14ac:dyDescent="0.25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x14ac:dyDescent="0.25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x14ac:dyDescent="0.25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x14ac:dyDescent="0.25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x14ac:dyDescent="0.2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x14ac:dyDescent="0.25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x14ac:dyDescent="0.25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x14ac:dyDescent="0.25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x14ac:dyDescent="0.25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x14ac:dyDescent="0.25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x14ac:dyDescent="0.25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x14ac:dyDescent="0.25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x14ac:dyDescent="0.25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x14ac:dyDescent="0.25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x14ac:dyDescent="0.2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x14ac:dyDescent="0.25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x14ac:dyDescent="0.25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x14ac:dyDescent="0.25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x14ac:dyDescent="0.25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x14ac:dyDescent="0.25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x14ac:dyDescent="0.25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x14ac:dyDescent="0.25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x14ac:dyDescent="0.25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x14ac:dyDescent="0.25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x14ac:dyDescent="0.2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x14ac:dyDescent="0.25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x14ac:dyDescent="0.25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x14ac:dyDescent="0.25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x14ac:dyDescent="0.25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x14ac:dyDescent="0.25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x14ac:dyDescent="0.25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x14ac:dyDescent="0.25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x14ac:dyDescent="0.25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x14ac:dyDescent="0.25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x14ac:dyDescent="0.2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x14ac:dyDescent="0.25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x14ac:dyDescent="0.25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x14ac:dyDescent="0.25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x14ac:dyDescent="0.25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x14ac:dyDescent="0.25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x14ac:dyDescent="0.25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x14ac:dyDescent="0.25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x14ac:dyDescent="0.25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x14ac:dyDescent="0.25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x14ac:dyDescent="0.2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x14ac:dyDescent="0.25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x14ac:dyDescent="0.25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x14ac:dyDescent="0.25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x14ac:dyDescent="0.25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x14ac:dyDescent="0.25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x14ac:dyDescent="0.25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x14ac:dyDescent="0.25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x14ac:dyDescent="0.25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x14ac:dyDescent="0.25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x14ac:dyDescent="0.2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x14ac:dyDescent="0.25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x14ac:dyDescent="0.25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x14ac:dyDescent="0.25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x14ac:dyDescent="0.25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x14ac:dyDescent="0.25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x14ac:dyDescent="0.25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x14ac:dyDescent="0.25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x14ac:dyDescent="0.25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x14ac:dyDescent="0.25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x14ac:dyDescent="0.2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x14ac:dyDescent="0.25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x14ac:dyDescent="0.25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x14ac:dyDescent="0.25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x14ac:dyDescent="0.25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x14ac:dyDescent="0.25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x14ac:dyDescent="0.25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x14ac:dyDescent="0.25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x14ac:dyDescent="0.25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x14ac:dyDescent="0.25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x14ac:dyDescent="0.2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x14ac:dyDescent="0.25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x14ac:dyDescent="0.25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x14ac:dyDescent="0.25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x14ac:dyDescent="0.25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x14ac:dyDescent="0.25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x14ac:dyDescent="0.25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x14ac:dyDescent="0.25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x14ac:dyDescent="0.25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x14ac:dyDescent="0.25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x14ac:dyDescent="0.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x14ac:dyDescent="0.25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x14ac:dyDescent="0.25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x14ac:dyDescent="0.25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x14ac:dyDescent="0.25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x14ac:dyDescent="0.25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x14ac:dyDescent="0.25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x14ac:dyDescent="0.25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x14ac:dyDescent="0.25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x14ac:dyDescent="0.25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x14ac:dyDescent="0.2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x14ac:dyDescent="0.25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x14ac:dyDescent="0.25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x14ac:dyDescent="0.25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x14ac:dyDescent="0.25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x14ac:dyDescent="0.25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x14ac:dyDescent="0.25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x14ac:dyDescent="0.25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x14ac:dyDescent="0.25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x14ac:dyDescent="0.25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x14ac:dyDescent="0.2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x14ac:dyDescent="0.25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x14ac:dyDescent="0.25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x14ac:dyDescent="0.25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x14ac:dyDescent="0.25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x14ac:dyDescent="0.25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x14ac:dyDescent="0.25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x14ac:dyDescent="0.25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x14ac:dyDescent="0.25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x14ac:dyDescent="0.25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x14ac:dyDescent="0.2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x14ac:dyDescent="0.25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x14ac:dyDescent="0.25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x14ac:dyDescent="0.25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x14ac:dyDescent="0.25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x14ac:dyDescent="0.25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x14ac:dyDescent="0.25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x14ac:dyDescent="0.25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x14ac:dyDescent="0.25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x14ac:dyDescent="0.25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x14ac:dyDescent="0.2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x14ac:dyDescent="0.25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x14ac:dyDescent="0.25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x14ac:dyDescent="0.25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x14ac:dyDescent="0.25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x14ac:dyDescent="0.25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x14ac:dyDescent="0.25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x14ac:dyDescent="0.25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x14ac:dyDescent="0.25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x14ac:dyDescent="0.25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x14ac:dyDescent="0.2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x14ac:dyDescent="0.25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x14ac:dyDescent="0.25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x14ac:dyDescent="0.25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x14ac:dyDescent="0.25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x14ac:dyDescent="0.25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x14ac:dyDescent="0.25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x14ac:dyDescent="0.25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x14ac:dyDescent="0.25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x14ac:dyDescent="0.25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x14ac:dyDescent="0.2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x14ac:dyDescent="0.25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x14ac:dyDescent="0.25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x14ac:dyDescent="0.25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x14ac:dyDescent="0.25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x14ac:dyDescent="0.25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x14ac:dyDescent="0.25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x14ac:dyDescent="0.25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x14ac:dyDescent="0.25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x14ac:dyDescent="0.25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x14ac:dyDescent="0.2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x14ac:dyDescent="0.25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x14ac:dyDescent="0.25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x14ac:dyDescent="0.25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x14ac:dyDescent="0.25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x14ac:dyDescent="0.25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x14ac:dyDescent="0.25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x14ac:dyDescent="0.25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x14ac:dyDescent="0.25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x14ac:dyDescent="0.25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x14ac:dyDescent="0.2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x14ac:dyDescent="0.25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x14ac:dyDescent="0.25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x14ac:dyDescent="0.25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x14ac:dyDescent="0.25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x14ac:dyDescent="0.25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x14ac:dyDescent="0.25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x14ac:dyDescent="0.25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x14ac:dyDescent="0.25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x14ac:dyDescent="0.25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x14ac:dyDescent="0.2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x14ac:dyDescent="0.25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x14ac:dyDescent="0.25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x14ac:dyDescent="0.25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x14ac:dyDescent="0.25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x14ac:dyDescent="0.25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x14ac:dyDescent="0.25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x14ac:dyDescent="0.25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x14ac:dyDescent="0.25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x14ac:dyDescent="0.25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x14ac:dyDescent="0.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x14ac:dyDescent="0.25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x14ac:dyDescent="0.25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x14ac:dyDescent="0.25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x14ac:dyDescent="0.25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x14ac:dyDescent="0.25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x14ac:dyDescent="0.25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x14ac:dyDescent="0.25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x14ac:dyDescent="0.25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x14ac:dyDescent="0.25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x14ac:dyDescent="0.2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x14ac:dyDescent="0.25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x14ac:dyDescent="0.25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x14ac:dyDescent="0.25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x14ac:dyDescent="0.25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x14ac:dyDescent="0.25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x14ac:dyDescent="0.25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x14ac:dyDescent="0.25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x14ac:dyDescent="0.25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x14ac:dyDescent="0.25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x14ac:dyDescent="0.2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x14ac:dyDescent="0.25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x14ac:dyDescent="0.25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x14ac:dyDescent="0.25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x14ac:dyDescent="0.2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x14ac:dyDescent="0.2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x14ac:dyDescent="0.2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x14ac:dyDescent="0.25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x14ac:dyDescent="0.25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x14ac:dyDescent="0.25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x14ac:dyDescent="0.2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x14ac:dyDescent="0.25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x14ac:dyDescent="0.25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x14ac:dyDescent="0.25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x14ac:dyDescent="0.25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x14ac:dyDescent="0.25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x14ac:dyDescent="0.25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x14ac:dyDescent="0.25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x14ac:dyDescent="0.25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x14ac:dyDescent="0.25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x14ac:dyDescent="0.2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x14ac:dyDescent="0.25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x14ac:dyDescent="0.25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x14ac:dyDescent="0.25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x14ac:dyDescent="0.25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x14ac:dyDescent="0.25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x14ac:dyDescent="0.25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x14ac:dyDescent="0.25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x14ac:dyDescent="0.25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x14ac:dyDescent="0.25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x14ac:dyDescent="0.2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x14ac:dyDescent="0.25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x14ac:dyDescent="0.25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x14ac:dyDescent="0.25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x14ac:dyDescent="0.25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x14ac:dyDescent="0.25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x14ac:dyDescent="0.25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x14ac:dyDescent="0.25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x14ac:dyDescent="0.25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x14ac:dyDescent="0.25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x14ac:dyDescent="0.2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x14ac:dyDescent="0.25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x14ac:dyDescent="0.25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x14ac:dyDescent="0.25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x14ac:dyDescent="0.25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x14ac:dyDescent="0.25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x14ac:dyDescent="0.25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x14ac:dyDescent="0.25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x14ac:dyDescent="0.25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x14ac:dyDescent="0.25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x14ac:dyDescent="0.2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x14ac:dyDescent="0.25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x14ac:dyDescent="0.25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x14ac:dyDescent="0.25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x14ac:dyDescent="0.25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x14ac:dyDescent="0.25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x14ac:dyDescent="0.25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x14ac:dyDescent="0.25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x14ac:dyDescent="0.25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x14ac:dyDescent="0.25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x14ac:dyDescent="0.2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x14ac:dyDescent="0.25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x14ac:dyDescent="0.25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x14ac:dyDescent="0.25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x14ac:dyDescent="0.25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x14ac:dyDescent="0.25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x14ac:dyDescent="0.25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x14ac:dyDescent="0.25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x14ac:dyDescent="0.25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x14ac:dyDescent="0.25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x14ac:dyDescent="0.2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x14ac:dyDescent="0.25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x14ac:dyDescent="0.25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x14ac:dyDescent="0.25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x14ac:dyDescent="0.25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x14ac:dyDescent="0.25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x14ac:dyDescent="0.25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x14ac:dyDescent="0.25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x14ac:dyDescent="0.25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x14ac:dyDescent="0.25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x14ac:dyDescent="0.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x14ac:dyDescent="0.25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x14ac:dyDescent="0.25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x14ac:dyDescent="0.25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x14ac:dyDescent="0.25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x14ac:dyDescent="0.25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x14ac:dyDescent="0.25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x14ac:dyDescent="0.25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x14ac:dyDescent="0.25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x14ac:dyDescent="0.25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x14ac:dyDescent="0.2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x14ac:dyDescent="0.25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x14ac:dyDescent="0.25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x14ac:dyDescent="0.25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x14ac:dyDescent="0.25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x14ac:dyDescent="0.25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x14ac:dyDescent="0.25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x14ac:dyDescent="0.25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x14ac:dyDescent="0.25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x14ac:dyDescent="0.25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x14ac:dyDescent="0.2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x14ac:dyDescent="0.25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x14ac:dyDescent="0.25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x14ac:dyDescent="0.25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x14ac:dyDescent="0.25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x14ac:dyDescent="0.25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x14ac:dyDescent="0.25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x14ac:dyDescent="0.25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x14ac:dyDescent="0.25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x14ac:dyDescent="0.25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x14ac:dyDescent="0.2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x14ac:dyDescent="0.25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x14ac:dyDescent="0.25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x14ac:dyDescent="0.25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x14ac:dyDescent="0.25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x14ac:dyDescent="0.25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x14ac:dyDescent="0.25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x14ac:dyDescent="0.25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x14ac:dyDescent="0.25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x14ac:dyDescent="0.25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x14ac:dyDescent="0.2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x14ac:dyDescent="0.25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x14ac:dyDescent="0.25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x14ac:dyDescent="0.25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x14ac:dyDescent="0.25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x14ac:dyDescent="0.25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x14ac:dyDescent="0.25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x14ac:dyDescent="0.25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x14ac:dyDescent="0.25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x14ac:dyDescent="0.25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x14ac:dyDescent="0.2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x14ac:dyDescent="0.25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x14ac:dyDescent="0.25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x14ac:dyDescent="0.25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x14ac:dyDescent="0.25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x14ac:dyDescent="0.25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x14ac:dyDescent="0.25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x14ac:dyDescent="0.25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x14ac:dyDescent="0.25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x14ac:dyDescent="0.25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x14ac:dyDescent="0.2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x14ac:dyDescent="0.25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x14ac:dyDescent="0.25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x14ac:dyDescent="0.25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x14ac:dyDescent="0.25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x14ac:dyDescent="0.25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x14ac:dyDescent="0.25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x14ac:dyDescent="0.25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x14ac:dyDescent="0.25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x14ac:dyDescent="0.25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x14ac:dyDescent="0.2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x14ac:dyDescent="0.25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x14ac:dyDescent="0.25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x14ac:dyDescent="0.25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x14ac:dyDescent="0.25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x14ac:dyDescent="0.25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x14ac:dyDescent="0.25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x14ac:dyDescent="0.25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x14ac:dyDescent="0.25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x14ac:dyDescent="0.25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x14ac:dyDescent="0.2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x14ac:dyDescent="0.25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x14ac:dyDescent="0.25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x14ac:dyDescent="0.25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x14ac:dyDescent="0.25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x14ac:dyDescent="0.25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x14ac:dyDescent="0.25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x14ac:dyDescent="0.25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x14ac:dyDescent="0.25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x14ac:dyDescent="0.25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x14ac:dyDescent="0.2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x14ac:dyDescent="0.25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x14ac:dyDescent="0.25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x14ac:dyDescent="0.25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x14ac:dyDescent="0.25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x14ac:dyDescent="0.25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x14ac:dyDescent="0.25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x14ac:dyDescent="0.25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x14ac:dyDescent="0.25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x14ac:dyDescent="0.25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x14ac:dyDescent="0.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x14ac:dyDescent="0.25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x14ac:dyDescent="0.25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x14ac:dyDescent="0.25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x14ac:dyDescent="0.25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x14ac:dyDescent="0.25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x14ac:dyDescent="0.25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x14ac:dyDescent="0.25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x14ac:dyDescent="0.25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x14ac:dyDescent="0.25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x14ac:dyDescent="0.2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x14ac:dyDescent="0.25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x14ac:dyDescent="0.25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x14ac:dyDescent="0.25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x14ac:dyDescent="0.25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x14ac:dyDescent="0.2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x14ac:dyDescent="0.25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x14ac:dyDescent="0.2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x14ac:dyDescent="0.25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x14ac:dyDescent="0.2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x14ac:dyDescent="0.2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x14ac:dyDescent="0.2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x14ac:dyDescent="0.25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x14ac:dyDescent="0.2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x14ac:dyDescent="0.25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x14ac:dyDescent="0.2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x14ac:dyDescent="0.25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x14ac:dyDescent="0.2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x14ac:dyDescent="0.25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x14ac:dyDescent="0.2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x14ac:dyDescent="0.2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x14ac:dyDescent="0.2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x14ac:dyDescent="0.25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x14ac:dyDescent="0.2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x14ac:dyDescent="0.25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x14ac:dyDescent="0.2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x14ac:dyDescent="0.25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x14ac:dyDescent="0.25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x14ac:dyDescent="0.25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x14ac:dyDescent="0.25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x14ac:dyDescent="0.2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x14ac:dyDescent="0.25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x14ac:dyDescent="0.25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x14ac:dyDescent="0.25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x14ac:dyDescent="0.25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x14ac:dyDescent="0.25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x14ac:dyDescent="0.25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x14ac:dyDescent="0.25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x14ac:dyDescent="0.25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x14ac:dyDescent="0.25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x14ac:dyDescent="0.2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x14ac:dyDescent="0.25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x14ac:dyDescent="0.25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x14ac:dyDescent="0.25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x14ac:dyDescent="0.25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x14ac:dyDescent="0.25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x14ac:dyDescent="0.25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x14ac:dyDescent="0.25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x14ac:dyDescent="0.25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x14ac:dyDescent="0.25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x14ac:dyDescent="0.2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x14ac:dyDescent="0.25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x14ac:dyDescent="0.25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x14ac:dyDescent="0.25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x14ac:dyDescent="0.25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x14ac:dyDescent="0.25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x14ac:dyDescent="0.25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x14ac:dyDescent="0.25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x14ac:dyDescent="0.25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x14ac:dyDescent="0.25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x14ac:dyDescent="0.2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x14ac:dyDescent="0.25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x14ac:dyDescent="0.25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x14ac:dyDescent="0.25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x14ac:dyDescent="0.25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x14ac:dyDescent="0.25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x14ac:dyDescent="0.25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x14ac:dyDescent="0.25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x14ac:dyDescent="0.25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x14ac:dyDescent="0.25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x14ac:dyDescent="0.2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x14ac:dyDescent="0.25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x14ac:dyDescent="0.25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x14ac:dyDescent="0.25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x14ac:dyDescent="0.25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x14ac:dyDescent="0.25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x14ac:dyDescent="0.25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x14ac:dyDescent="0.25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x14ac:dyDescent="0.25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x14ac:dyDescent="0.25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x14ac:dyDescent="0.2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x14ac:dyDescent="0.25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x14ac:dyDescent="0.25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x14ac:dyDescent="0.25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x14ac:dyDescent="0.25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x14ac:dyDescent="0.25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x14ac:dyDescent="0.25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x14ac:dyDescent="0.25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x14ac:dyDescent="0.25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x14ac:dyDescent="0.25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x14ac:dyDescent="0.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x14ac:dyDescent="0.25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x14ac:dyDescent="0.25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x14ac:dyDescent="0.25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x14ac:dyDescent="0.25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x14ac:dyDescent="0.25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x14ac:dyDescent="0.25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x14ac:dyDescent="0.25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x14ac:dyDescent="0.25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x14ac:dyDescent="0.25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x14ac:dyDescent="0.2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x14ac:dyDescent="0.25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x14ac:dyDescent="0.25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x14ac:dyDescent="0.25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x14ac:dyDescent="0.25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x14ac:dyDescent="0.25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x14ac:dyDescent="0.25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x14ac:dyDescent="0.25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x14ac:dyDescent="0.25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x14ac:dyDescent="0.25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x14ac:dyDescent="0.2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x14ac:dyDescent="0.25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x14ac:dyDescent="0.25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x14ac:dyDescent="0.25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x14ac:dyDescent="0.25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x14ac:dyDescent="0.25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x14ac:dyDescent="0.25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x14ac:dyDescent="0.25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x14ac:dyDescent="0.25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x14ac:dyDescent="0.25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x14ac:dyDescent="0.2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x14ac:dyDescent="0.25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x14ac:dyDescent="0.25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x14ac:dyDescent="0.25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x14ac:dyDescent="0.25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 x14ac:dyDescent="0.25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 x14ac:dyDescent="0.25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 x14ac:dyDescent="0.25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 x14ac:dyDescent="0.25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 x14ac:dyDescent="0.25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 x14ac:dyDescent="0.2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 x14ac:dyDescent="0.25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 x14ac:dyDescent="0.25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 x14ac:dyDescent="0.25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 x14ac:dyDescent="0.25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 x14ac:dyDescent="0.25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 x14ac:dyDescent="0.25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 x14ac:dyDescent="0.25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 x14ac:dyDescent="0.25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 x14ac:dyDescent="0.25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 x14ac:dyDescent="0.2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 x14ac:dyDescent="0.25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 x14ac:dyDescent="0.25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75" x14ac:dyDescent="0.25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75" x14ac:dyDescent="0.25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75" x14ac:dyDescent="0.25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75" x14ac:dyDescent="0.25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75" x14ac:dyDescent="0.25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75" x14ac:dyDescent="0.25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75" x14ac:dyDescent="0.25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75" x14ac:dyDescent="0.2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75" x14ac:dyDescent="0.25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75" x14ac:dyDescent="0.25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75" x14ac:dyDescent="0.25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75" x14ac:dyDescent="0.25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75" x14ac:dyDescent="0.25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75" x14ac:dyDescent="0.25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.75" x14ac:dyDescent="0.25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.75" x14ac:dyDescent="0.25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.75" x14ac:dyDescent="0.25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.75" x14ac:dyDescent="0.2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.75" x14ac:dyDescent="0.25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.75" x14ac:dyDescent="0.25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.75" x14ac:dyDescent="0.25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.75" x14ac:dyDescent="0.25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5.75" x14ac:dyDescent="0.25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5.75" x14ac:dyDescent="0.25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</sheetData>
  <mergeCells count="60">
    <mergeCell ref="B1:F1"/>
    <mergeCell ref="B3:F3"/>
    <mergeCell ref="C6:C7"/>
    <mergeCell ref="D6:D7"/>
    <mergeCell ref="E6:E7"/>
    <mergeCell ref="F6:F8"/>
    <mergeCell ref="C8:C9"/>
    <mergeCell ref="D8:D9"/>
    <mergeCell ref="E8:E9"/>
    <mergeCell ref="F9:F11"/>
    <mergeCell ref="B28:B29"/>
    <mergeCell ref="C28:C29"/>
    <mergeCell ref="D28:D29"/>
    <mergeCell ref="E28:E29"/>
    <mergeCell ref="B10:B11"/>
    <mergeCell ref="C10:C11"/>
    <mergeCell ref="D10:D11"/>
    <mergeCell ref="E10:E11"/>
    <mergeCell ref="B14:F14"/>
    <mergeCell ref="C17:C18"/>
    <mergeCell ref="D17:D18"/>
    <mergeCell ref="E17:E18"/>
    <mergeCell ref="F17:F18"/>
    <mergeCell ref="B18:B19"/>
    <mergeCell ref="C20:C21"/>
    <mergeCell ref="B21:B22"/>
    <mergeCell ref="D21:D22"/>
    <mergeCell ref="E21:E22"/>
    <mergeCell ref="F21:F22"/>
    <mergeCell ref="E31:E32"/>
    <mergeCell ref="C32:C33"/>
    <mergeCell ref="E33:E34"/>
    <mergeCell ref="B37:F37"/>
    <mergeCell ref="C40:C43"/>
    <mergeCell ref="D40:D43"/>
    <mergeCell ref="E40:E43"/>
    <mergeCell ref="F40:F43"/>
    <mergeCell ref="B42:B43"/>
    <mergeCell ref="A51:A55"/>
    <mergeCell ref="C52:C55"/>
    <mergeCell ref="D52:D55"/>
    <mergeCell ref="E52:E55"/>
    <mergeCell ref="F52:F55"/>
    <mergeCell ref="C46:C49"/>
    <mergeCell ref="D46:D49"/>
    <mergeCell ref="E46:E49"/>
    <mergeCell ref="F46:F49"/>
    <mergeCell ref="B48:B49"/>
    <mergeCell ref="B54:B55"/>
    <mergeCell ref="B57:F57"/>
    <mergeCell ref="B60:B61"/>
    <mergeCell ref="C60:C61"/>
    <mergeCell ref="D60:D61"/>
    <mergeCell ref="E60:E61"/>
    <mergeCell ref="F60:F61"/>
    <mergeCell ref="D62:D63"/>
    <mergeCell ref="E62:E63"/>
    <mergeCell ref="B63:B64"/>
    <mergeCell ref="D64:D65"/>
    <mergeCell ref="C65:C66"/>
  </mergeCells>
  <printOptions horizontalCentered="1"/>
  <pageMargins left="0.19685039370078741" right="0.19685039370078741" top="0.39370078740157483" bottom="0.19685039370078741" header="0" footer="0"/>
  <pageSetup paperSize="9" scale="49" fitToWidth="0" fitToHeight="0" orientation="portrait" r:id="rId1"/>
  <colBreaks count="1" manualBreakCount="1">
    <brk id="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72FF-334E-5E44-B592-4FAA065B28C6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JATENG (SWAKELOLA)</vt:lpstr>
      <vt:lpstr>Sheet1</vt:lpstr>
      <vt:lpstr>'JATENG (SWAKELOLA)'!Print_Area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Pak Heru Wahono</cp:lastModifiedBy>
  <dcterms:created xsi:type="dcterms:W3CDTF">2023-09-12T03:28:45Z</dcterms:created>
  <dcterms:modified xsi:type="dcterms:W3CDTF">2024-07-29T04:25:05Z</dcterms:modified>
</cp:coreProperties>
</file>