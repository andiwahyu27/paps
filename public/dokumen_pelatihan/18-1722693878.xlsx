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A2022 MULAI MARET\9. MA\SOAL\"/>
    </mc:Choice>
  </mc:AlternateContent>
  <xr:revisionPtr revIDLastSave="0" documentId="13_ncr:1_{76F46288-851E-4F72-9202-04CF7ED90399}" xr6:coauthVersionLast="47" xr6:coauthVersionMax="47" xr10:uidLastSave="{00000000-0000-0000-0000-000000000000}"/>
  <bookViews>
    <workbookView xWindow="-110" yWindow="-110" windowWidth="19420" windowHeight="10420" xr2:uid="{00000000-000D-0000-FFFF-FFFF00000000}"/>
  </bookViews>
  <sheets>
    <sheet name="Sheet1" sheetId="1" r:id="rId1"/>
    <sheet name="HASIL SAVE AS TXT" sheetId="2" r:id="rId2"/>
    <sheet name="Sheet2" sheetId="3" r:id="rId3"/>
  </sheets>
  <definedNames>
    <definedName name="_Hlk101434402" localSheetId="0">Sheet1!$A$38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201" i="1" l="1"/>
  <c r="I200" i="1"/>
  <c r="I199" i="1"/>
  <c r="I198" i="1"/>
  <c r="D197" i="1"/>
  <c r="I197" i="1" s="1"/>
  <c r="I196" i="1"/>
  <c r="I195" i="1"/>
  <c r="I194" i="1"/>
  <c r="I193" i="1"/>
  <c r="D192" i="1"/>
  <c r="I192" i="1" s="1"/>
  <c r="I191" i="1"/>
  <c r="I190" i="1"/>
  <c r="I189" i="1"/>
  <c r="I188" i="1"/>
  <c r="D187" i="1"/>
  <c r="I187" i="1" s="1"/>
  <c r="J187" i="1" s="1"/>
  <c r="I186" i="1"/>
  <c r="I185" i="1"/>
  <c r="I184" i="1"/>
  <c r="I183" i="1"/>
  <c r="D182" i="1"/>
  <c r="I182" i="1" s="1"/>
  <c r="I181" i="1"/>
  <c r="I180" i="1"/>
  <c r="I179" i="1"/>
  <c r="I178" i="1"/>
  <c r="D177" i="1"/>
  <c r="I177" i="1" s="1"/>
  <c r="I176" i="1"/>
  <c r="I175" i="1"/>
  <c r="I174" i="1"/>
  <c r="I173" i="1"/>
  <c r="I172" i="1"/>
  <c r="D172" i="1"/>
  <c r="I171" i="1"/>
  <c r="I170" i="1"/>
  <c r="I169" i="1"/>
  <c r="I168" i="1"/>
  <c r="D167" i="1"/>
  <c r="I167" i="1" s="1"/>
  <c r="I166" i="1"/>
  <c r="I165" i="1"/>
  <c r="I164" i="1"/>
  <c r="I163" i="1"/>
  <c r="D162" i="1"/>
  <c r="I162" i="1" s="1"/>
  <c r="I161" i="1"/>
  <c r="I160" i="1"/>
  <c r="I159" i="1"/>
  <c r="I158" i="1"/>
  <c r="D157" i="1"/>
  <c r="I157" i="1" s="1"/>
  <c r="I156" i="1"/>
  <c r="I155" i="1"/>
  <c r="I154" i="1"/>
  <c r="I153" i="1"/>
  <c r="D152" i="1"/>
  <c r="I152" i="1" s="1"/>
  <c r="I151" i="1"/>
  <c r="I150" i="1"/>
  <c r="I149" i="1"/>
  <c r="I148" i="1"/>
  <c r="D147" i="1"/>
  <c r="I147" i="1" s="1"/>
  <c r="I146" i="1"/>
  <c r="I145" i="1"/>
  <c r="I144" i="1"/>
  <c r="I143" i="1"/>
  <c r="I142" i="1"/>
  <c r="D142" i="1"/>
  <c r="I141" i="1"/>
  <c r="I140" i="1"/>
  <c r="I139" i="1"/>
  <c r="I138" i="1"/>
  <c r="D137" i="1"/>
  <c r="I137" i="1" s="1"/>
  <c r="I136" i="1"/>
  <c r="I135" i="1"/>
  <c r="I134" i="1"/>
  <c r="I133" i="1"/>
  <c r="I132" i="1"/>
  <c r="D132" i="1"/>
  <c r="I131" i="1"/>
  <c r="I130" i="1"/>
  <c r="I129" i="1"/>
  <c r="I128" i="1"/>
  <c r="D127" i="1"/>
  <c r="I127" i="1" s="1"/>
  <c r="I126" i="1"/>
  <c r="I125" i="1"/>
  <c r="I124" i="1"/>
  <c r="I123" i="1"/>
  <c r="D122" i="1"/>
  <c r="I122" i="1" s="1"/>
  <c r="I121" i="1"/>
  <c r="I120" i="1"/>
  <c r="I119" i="1"/>
  <c r="I118" i="1"/>
  <c r="I117" i="1"/>
  <c r="D117" i="1"/>
  <c r="I116" i="1"/>
  <c r="I115" i="1"/>
  <c r="I114" i="1"/>
  <c r="I113" i="1"/>
  <c r="D112" i="1"/>
  <c r="I112" i="1" s="1"/>
  <c r="I111" i="1"/>
  <c r="I110" i="1"/>
  <c r="I109" i="1"/>
  <c r="I108" i="1"/>
  <c r="I107" i="1"/>
  <c r="D107" i="1"/>
  <c r="I106" i="1"/>
  <c r="I105" i="1"/>
  <c r="I104" i="1"/>
  <c r="I103" i="1"/>
  <c r="D102" i="1"/>
  <c r="I101" i="1"/>
  <c r="I100" i="1"/>
  <c r="I99" i="1"/>
  <c r="I98" i="1"/>
  <c r="I97" i="1"/>
  <c r="D97" i="1"/>
  <c r="I96" i="1"/>
  <c r="I95" i="1"/>
  <c r="I94" i="1"/>
  <c r="I93" i="1"/>
  <c r="D92" i="1"/>
  <c r="I92" i="1" s="1"/>
  <c r="I91" i="1"/>
  <c r="I90" i="1"/>
  <c r="I89" i="1"/>
  <c r="I88" i="1"/>
  <c r="D87" i="1"/>
  <c r="I87" i="1" s="1"/>
  <c r="I86" i="1"/>
  <c r="I85" i="1"/>
  <c r="I84" i="1"/>
  <c r="I83" i="1"/>
  <c r="D82" i="1"/>
  <c r="I82" i="1" s="1"/>
  <c r="J82" i="1" s="1"/>
  <c r="I81" i="1"/>
  <c r="I80" i="1"/>
  <c r="I79" i="1"/>
  <c r="I78" i="1"/>
  <c r="D77" i="1"/>
  <c r="I77" i="1" s="1"/>
  <c r="I76" i="1"/>
  <c r="I75" i="1"/>
  <c r="I74" i="1"/>
  <c r="I73" i="1"/>
  <c r="I72" i="1"/>
  <c r="D72" i="1"/>
  <c r="I71" i="1"/>
  <c r="I70" i="1"/>
  <c r="I69" i="1"/>
  <c r="I68" i="1"/>
  <c r="D67" i="1"/>
  <c r="I67" i="1" s="1"/>
  <c r="I66" i="1"/>
  <c r="I65" i="1"/>
  <c r="I64" i="1"/>
  <c r="I63" i="1"/>
  <c r="I62" i="1"/>
  <c r="D62" i="1"/>
  <c r="I61" i="1"/>
  <c r="I60" i="1"/>
  <c r="I59" i="1"/>
  <c r="I58" i="1"/>
  <c r="D57" i="1"/>
  <c r="I57" i="1" s="1"/>
  <c r="I56" i="1"/>
  <c r="I55" i="1"/>
  <c r="I54" i="1"/>
  <c r="I53" i="1"/>
  <c r="I52" i="1"/>
  <c r="D52" i="1"/>
  <c r="A97" i="2"/>
  <c r="A93" i="2"/>
  <c r="A89" i="2"/>
  <c r="A81" i="2"/>
  <c r="A85" i="2"/>
  <c r="A77" i="2"/>
  <c r="A73" i="2"/>
  <c r="A69" i="2"/>
  <c r="A65" i="2"/>
  <c r="A61" i="2"/>
  <c r="A57" i="2"/>
  <c r="A53" i="2"/>
  <c r="A49" i="2"/>
  <c r="A45" i="2"/>
  <c r="A41" i="2"/>
  <c r="I9" i="1"/>
  <c r="I10" i="1"/>
  <c r="I8" i="1"/>
  <c r="I51" i="1"/>
  <c r="I46" i="1"/>
  <c r="I41" i="1"/>
  <c r="I36" i="1"/>
  <c r="I31" i="1"/>
  <c r="I26" i="1"/>
  <c r="I21" i="1"/>
  <c r="I16" i="1"/>
  <c r="I11" i="1"/>
  <c r="I49" i="1"/>
  <c r="I50" i="1"/>
  <c r="I48" i="1"/>
  <c r="I44" i="1"/>
  <c r="I45" i="1"/>
  <c r="I43" i="1"/>
  <c r="I39" i="1"/>
  <c r="I40" i="1"/>
  <c r="I38" i="1"/>
  <c r="I34" i="1"/>
  <c r="I35" i="1"/>
  <c r="I33" i="1"/>
  <c r="I29" i="1"/>
  <c r="I30" i="1"/>
  <c r="I28" i="1"/>
  <c r="I24" i="1"/>
  <c r="I25" i="1"/>
  <c r="I23" i="1"/>
  <c r="I19" i="1"/>
  <c r="I20" i="1"/>
  <c r="I18" i="1"/>
  <c r="I14" i="1"/>
  <c r="I15" i="1"/>
  <c r="I13" i="1"/>
  <c r="I6" i="1"/>
  <c r="I5" i="1"/>
  <c r="I4" i="1"/>
  <c r="I3" i="1"/>
  <c r="A37" i="2"/>
  <c r="A33" i="2"/>
  <c r="A29" i="2"/>
  <c r="A25" i="2"/>
  <c r="A21" i="2"/>
  <c r="A17" i="2"/>
  <c r="A13" i="2"/>
  <c r="A9" i="2"/>
  <c r="A5" i="2"/>
  <c r="A1" i="2"/>
  <c r="D7" i="1"/>
  <c r="I7" i="1" s="1"/>
  <c r="D12" i="1"/>
  <c r="I12" i="1" s="1"/>
  <c r="D17" i="1"/>
  <c r="I17" i="1" s="1"/>
  <c r="D22" i="1"/>
  <c r="I22" i="1" s="1"/>
  <c r="D27" i="1"/>
  <c r="I27" i="1" s="1"/>
  <c r="D32" i="1"/>
  <c r="I32" i="1" s="1"/>
  <c r="D37" i="1"/>
  <c r="I37" i="1" s="1"/>
  <c r="D42" i="1"/>
  <c r="I42" i="1" s="1"/>
  <c r="D47" i="1"/>
  <c r="I47" i="1" s="1"/>
  <c r="D2" i="1"/>
  <c r="I2" i="1" s="1"/>
  <c r="J197" i="1" l="1"/>
  <c r="J192" i="1"/>
  <c r="J177" i="1"/>
  <c r="J182" i="1"/>
  <c r="J172" i="1"/>
  <c r="J167" i="1"/>
  <c r="J157" i="1"/>
  <c r="J162" i="1"/>
  <c r="J152" i="1"/>
  <c r="J147" i="1"/>
  <c r="J142" i="1"/>
  <c r="J137" i="1"/>
  <c r="J132" i="1"/>
  <c r="J127" i="1"/>
  <c r="J122" i="1"/>
  <c r="A99" i="2" s="1"/>
  <c r="J117" i="1"/>
  <c r="A95" i="2" s="1"/>
  <c r="J112" i="1"/>
  <c r="A91" i="2" s="1"/>
  <c r="J107" i="1"/>
  <c r="A87" i="2" s="1"/>
  <c r="J87" i="1"/>
  <c r="A71" i="2" s="1"/>
  <c r="J97" i="1"/>
  <c r="A79" i="2" s="1"/>
  <c r="J92" i="1"/>
  <c r="A75" i="2" s="1"/>
  <c r="J77" i="1"/>
  <c r="A63" i="2" s="1"/>
  <c r="J72" i="1"/>
  <c r="A59" i="2" s="1"/>
  <c r="J67" i="1"/>
  <c r="A55" i="2" s="1"/>
  <c r="J62" i="1"/>
  <c r="A51" i="2" s="1"/>
  <c r="J57" i="1"/>
  <c r="A47" i="2" s="1"/>
  <c r="J52" i="1"/>
  <c r="A43" i="2" s="1"/>
  <c r="J12" i="1"/>
  <c r="A11" i="2" s="1"/>
  <c r="J17" i="1"/>
  <c r="A15" i="2" s="1"/>
  <c r="A67" i="2"/>
  <c r="J32" i="1"/>
  <c r="A27" i="2" s="1"/>
  <c r="J27" i="1"/>
  <c r="A23" i="2" s="1"/>
  <c r="J7" i="1"/>
  <c r="A7" i="2" s="1"/>
  <c r="J47" i="1"/>
  <c r="A39" i="2" s="1"/>
  <c r="J42" i="1"/>
  <c r="A35" i="2" s="1"/>
  <c r="J37" i="1"/>
  <c r="A31" i="2" s="1"/>
  <c r="J22" i="1"/>
  <c r="A19" i="2" s="1"/>
  <c r="J2" i="1"/>
  <c r="A3" i="2" s="1"/>
  <c r="I102" i="1"/>
  <c r="J102" i="1" s="1"/>
  <c r="A83" i="2" s="1"/>
</calcChain>
</file>

<file path=xl/sharedStrings.xml><?xml version="1.0" encoding="utf-8"?>
<sst xmlns="http://schemas.openxmlformats.org/spreadsheetml/2006/main" count="559" uniqueCount="337">
  <si>
    <t>001</t>
  </si>
  <si>
    <t>002</t>
  </si>
  <si>
    <t>003</t>
  </si>
  <si>
    <t>004</t>
  </si>
  <si>
    <t>005</t>
  </si>
  <si>
    <t>006</t>
  </si>
  <si>
    <t>007</t>
  </si>
  <si>
    <t>008</t>
  </si>
  <si>
    <t>009</t>
  </si>
  <si>
    <t>010</t>
  </si>
  <si>
    <t>kode</t>
  </si>
  <si>
    <t>[html]</t>
  </si>
  <si>
    <t>::</t>
  </si>
  <si>
    <t>[moodle]</t>
  </si>
  <si>
    <t>Yang bukan merupakan karakteristik dari GSBPM adalah:</t>
  </si>
  <si>
    <t>Tidak bersifat linier</t>
  </si>
  <si>
    <t>Pengertian statistik sektoral adalah:</t>
  </si>
  <si>
    <t>Statistik yang pemanfaatannya ditujukan untuk memenuhi kebutuhan pembangunan sektor tertentu dalam rangka pemenuhan kebutuhan data untuk perencanaan dan evaluasi pembangunan.</t>
  </si>
  <si>
    <t>Statistik yang pemanfaatannya ditujukan untuk memenuhi kebutuhan instansi tertentu dalam rangka penyelenggaraan tugas-tugas pemerintahan dan pembangunan yang merupakan tugas pokok instansi yang bersangkutan serta statistik yang diselenggarakan oleh akademisi.</t>
  </si>
  <si>
    <t>Statistik yang pemanfaatannya ditujukan untuk memenuhi kebutuhan masyarakat tertentu dalam rangka pemenuhan kebutuhan data dalam perencanaan dan evaluasi program kerja sesuai sektor masing-masing.</t>
  </si>
  <si>
    <t>Statistik yang pemanfaatannya ditujukan untuk memenuhi kebutuhan instansi tertentu dalam rangka penyelenggaraan tugas-tugas pemerintahan dan pembangunan yang merupakan tugas pokok instansi yang bersangkutan.</t>
  </si>
  <si>
    <t>Salah satu mekanisme penyampaian rencana penyelenggaraan kegiatan statistik sektoral diatur sebagai berikut</t>
  </si>
  <si>
    <t>Apabila wilayah penyelenggaraan kegiatan statistik hanya mencakup satu kabupaten/kota, maka pemberitahuan rencana penyelenggaraan kegiatan statistik disampaikan kepada Kepala BPS Kabupaten/Kota dan BPS Provinsi di wilayah yang bersangkutan</t>
  </si>
  <si>
    <t>Apabila wilayah penyelenggaraan kegiatan statistik hanya mencakup satu provinsi atau beberapa kabupaten/kota dalam satu provinsi, maka pemberitahuan rencana penyelenggaraan kegiatan statistik disampaikan kepada Kepala BPS Provinsi dan Kepala BPS Kabupaten/Kota di wilayah yang bersangkutan</t>
  </si>
  <si>
    <t>Apabila wilayah penyelenggaraan kegiatan statistik mencakup lebih dari satu provinsi, maka pemberitahuan rencana penyelenggaraan kegiatan statistik disampaikan kepada seluruh Kepala BPS Provinsi tempat penyelenggaraan kegiatan tersebut</t>
  </si>
  <si>
    <t>Apabila kegiatan statistik diselenggarakan oleh instansi pemerintah pusat di daerah tertentu, pemberitahuan rencana kegiatan statistik disampaikan oleh K/L penyelenggara kepada Kepala BPS dengan tembusan kepada Kepala BPS di wilayah yang bersangkutan</t>
  </si>
  <si>
    <t>Dalam skema Satu Data Indonesia, permasalahan data yang dihadapi dapat dibahas bersama dalam suatu wadah komunikasi dan koordinasi antar Instansi Pusat dan /atau Instansi Daerah yang disebut dengan ….</t>
  </si>
  <si>
    <t>Sekretariat Satu Data Indonesia</t>
  </si>
  <si>
    <t>Walidata</t>
  </si>
  <si>
    <t>Forum Satu Data Indonesia</t>
  </si>
  <si>
    <t>Workshop Data</t>
  </si>
  <si>
    <t>Penguatan Sistem Statistik Nasional (SSN) dilakukan dengan melalui penyelenggaraan statistik berikut, kecuali...</t>
  </si>
  <si>
    <t>Statistik Dasar</t>
  </si>
  <si>
    <t>Statistik Sektoral</t>
  </si>
  <si>
    <t>Statistik Kelembagaan</t>
  </si>
  <si>
    <t>Statistik Khusus</t>
  </si>
  <si>
    <t>Landasan hukum yang menyebutkan tentang Satu Data Indonesia adalah....</t>
  </si>
  <si>
    <t>Undang-Undang Nomor 16 Tahun 1997</t>
  </si>
  <si>
    <t>Peraturan Pemerintah Nomor 51 Tahun 1999</t>
  </si>
  <si>
    <t>Peraturan Presiden Nomor 39 Tahun 2019</t>
  </si>
  <si>
    <t>Peraturan Badan Pusat Statistik Nomor 10 Tahun 2021</t>
  </si>
  <si>
    <t>Evaluasi Penyelenggaraan Statistik Sektoral merupakan proses penilaian terhadap pelaksanaan penyelenggaraan statistik sektoral di Instansi Pusat dan Pemerintah Daerah untuk menghasilkan nilai IPS. Apa kepanjangan dari IPS?</t>
  </si>
  <si>
    <t>Indeks Pemantauan Statistik</t>
  </si>
  <si>
    <t>Indeks Penyelenggaraan Statistik</t>
  </si>
  <si>
    <t>Indeks Pembangunan Statistik</t>
  </si>
  <si>
    <t>Indeks Pelaksanaan Statistik</t>
  </si>
  <si>
    <r>
      <t xml:space="preserve">Berikut adalah tahap - tahap dari seluruh tahapan evaluasi penyelenggaraan statistik sektoral, </t>
    </r>
    <r>
      <rPr>
        <b/>
        <sz val="11"/>
        <color rgb="FF000000"/>
        <rFont val="Calibri"/>
        <family val="2"/>
        <scheme val="minor"/>
      </rPr>
      <t>kecuali</t>
    </r>
  </si>
  <si>
    <t>Tahap Persiapan</t>
  </si>
  <si>
    <t>Tahap Pelaksanaan</t>
  </si>
  <si>
    <t>Tahap Pemantauan</t>
  </si>
  <si>
    <t>Tahap Pelaporan</t>
  </si>
  <si>
    <t>Berdasarkan struktur penilaian IPS, domain Prinsip SDI terdiri dari 4 Aspek. Aspek berikut yang merupakan aspek pada domain Prinsip SDI adalah</t>
  </si>
  <si>
    <t>Profesionalitas</t>
  </si>
  <si>
    <t>Pengelolaan Standar Data Statistik</t>
  </si>
  <si>
    <t>Relevansi</t>
  </si>
  <si>
    <t>Kode Referensi dan/atau Data Induk</t>
  </si>
  <si>
    <t>Informasi spesifik dari aspek pelaksanaan Penyelenggaraan Statistik Sektoral yang dinilai disebut</t>
  </si>
  <si>
    <t>Domain</t>
  </si>
  <si>
    <t>Aspek</t>
  </si>
  <si>
    <t>Indikator</t>
  </si>
  <si>
    <t>Indeks</t>
  </si>
  <si>
    <t>Berikut yang bukan ciri-ciri tingkat kematangan RINTISAN kecuali</t>
  </si>
  <si>
    <t>Pelaksanaan masih bersifat ad hoc</t>
  </si>
  <si>
    <t>Proses tata kelola dijalankan dengan dasar-dasar manajemen</t>
  </si>
  <si>
    <t xml:space="preserve">Semua unit organisasi sama dalam pelaksanaan proses tata kelola </t>
  </si>
  <si>
    <t>Kinerja penyelenggaraan statistik sektoral dapat diukur melalui kegiatan reviu dan evaluasi pada setiap proses</t>
  </si>
  <si>
    <t>Berapa jumlah aspek yang digunakan dalam pengukuran IPS dalam rangka Evaluasi Penyelenggaraan Statistik Sektoral?</t>
  </si>
  <si>
    <r>
      <t xml:space="preserve">Berikut adalah tugas dari tim penilai badan, </t>
    </r>
    <r>
      <rPr>
        <b/>
        <sz val="11"/>
        <color rgb="FF000000"/>
        <rFont val="Calibri"/>
        <family val="2"/>
        <scheme val="minor"/>
      </rPr>
      <t>kecuali</t>
    </r>
  </si>
  <si>
    <t>Melakukan penilaian dokumen, penilaian interviu dan visitasi</t>
  </si>
  <si>
    <t>Menyusun laporan Tim Penilai Badan</t>
  </si>
  <si>
    <t>Memberi catatan atas penilaian, rekomendasi atau saran perbaikan</t>
  </si>
  <si>
    <t>Melakukan entri data dan bukti dukung ke aplikasi</t>
  </si>
  <si>
    <t>Tim Penilai Badan ditetapkan oleh...</t>
  </si>
  <si>
    <t>Koordinator Tim Penilai Internal</t>
  </si>
  <si>
    <t>Kepala Instansi/Kepala Pemerintah Daerah</t>
  </si>
  <si>
    <t>Kepala Badan</t>
  </si>
  <si>
    <t>Tim Penjaminan Kualitas</t>
  </si>
  <si>
    <t>Berapa nilai tingkatan kriteria jika suatu unit kerja pada Instansi Pusat atau Pemerintah Daerah telah berada pada tahap Usulan SDS telah dilakukan harmonisasi oleh Walidata dan ditetapkan untuk semua produsen data, atau SDS yang ditetapkan oleh BPS digunakan oleh semua produsen data.</t>
  </si>
  <si>
    <t>Berapa nilai tingkatan kriteria jika suatu unit kerja pada Instansi Pusat atau Pemerintah Daerah telah berada pada tahap metadata telah diterapkan oleh setiap Produsen Data dengan kaidah yang berlaku untuk unit produsen datanya sendiri.</t>
  </si>
  <si>
    <t>Setiap data yang dihasilkan harus memiliki metadata. Berikut ini yang masing-masing berperan menyusun metadata, memeriksa metadata, dan menerima laporan metadata statistik adalah ...</t>
  </si>
  <si>
    <t>Instansi Pusat/Daerah, Walidata, Koordinator Forum Data</t>
  </si>
  <si>
    <t>Walidata, Koordinator Forum Data, BPS</t>
  </si>
  <si>
    <t>Produsen Data, Walidata, BPS</t>
  </si>
  <si>
    <t>Instansi Pusat/Daerah, Produsen Data, Walidata</t>
  </si>
  <si>
    <t>Berapa jumlah indikator dalam aspek Interoperabilitas pada domain Prinsip SDI yang digunakan dalam pengukuran IPS dalam rangka Evaluasi Penyelenggaraan Statistik Sektoral?</t>
  </si>
  <si>
    <t>Sebutkan nama indikator dalam aspek Relevansi dalam pengukuran IPS?</t>
  </si>
  <si>
    <t>Tingkat Kematangan Proses Identifikasi Kebutuhan Data</t>
  </si>
  <si>
    <t>Tingkat Kematangan Penilaian Akurasi Data</t>
  </si>
  <si>
    <t>Tingkat Kematangan Evaluasi Ketepatan Waktu Diseminasi</t>
  </si>
  <si>
    <t>Tingkat Kematangan Ketersediaan Data untuk Pengguna Data</t>
  </si>
  <si>
    <t>Berapa jumlah indikator dalam aspek Akurasi pada domain Kualitas Data yang digunakan dalam pengukuran IPS dalam rangka Evaluasi Penyelenggaraan Statistik Sektoral?</t>
  </si>
  <si>
    <t>Berapa jumlah indikator dalam aspek Aktualitas &amp; Ketepatan Waktu pada domain Kualitas Data yang digunakan dalam pengukuran IPS dalam rangka Evaluasi Penyelenggaraan Statistik Sektoral?</t>
  </si>
  <si>
    <t xml:space="preserve">Suatu unit kerja menyusun Indeks Kepuasan Masyarakat dan membuat gap antara harapan dengan kepuasan pengguna terhadap layanan yang diterima. Aktivitas tersebut merupakan contoh penerapan indikator apa dari domain 3 (proses bisnis statistik) dan aspek 2 (perencanaan)? </t>
  </si>
  <si>
    <t>Indikator 3 (Tingkat Kematangan Penyiapan Instrumen)</t>
  </si>
  <si>
    <t>Indikator 1 (Tingkat Kematangan Pendefinisian Kebutuhan Statistik)</t>
  </si>
  <si>
    <t>Indikator 2 (Tingkat Kematangan Desain Statistik)</t>
  </si>
  <si>
    <t>Indikator 1(Tingkat Kematangan Proses Pengumpulan Data / Akuisisi data)</t>
  </si>
  <si>
    <t xml:space="preserve">Tahapan kegiatan mencari data/informasi di lapangan atau akuisisi dari sumber lain yang dilakukan pada proses stastistik adalah merupakan definisi dari indikator ke-1 pada domain proses bisnis dan aspek.... </t>
  </si>
  <si>
    <t>Perencanaan data</t>
  </si>
  <si>
    <t>pemeriksaan data</t>
  </si>
  <si>
    <t>pengumpulan data</t>
  </si>
  <si>
    <t>penyebarluasan data</t>
  </si>
  <si>
    <t>Penjaminan Netralitas dan Obyektivitas terhadap Penggunaan Sumber Data dan Metodologi bertujuan untuk</t>
  </si>
  <si>
    <t xml:space="preserve">Menetapkan hak pengguna data dalam memanfaatkan data statistik. </t>
  </si>
  <si>
    <t>Memberikan informasi kualitas data kepada pengguna agar dapat memanfaat secara optimal.</t>
  </si>
  <si>
    <t>Menjamin data/informasi yang dihasilkan objektif sesuai dengan keilmuan statistik, dengan rujukan atau standar nasional dan internasional, serta mempertimbangkan efisiensi dan efektivitas.</t>
  </si>
  <si>
    <t xml:space="preserve">Menjamin kerahasiaan data individu agar tidak disalahgunakan oleh pihak yang tidak bertanggungjawab </t>
  </si>
  <si>
    <t xml:space="preserve">Pengukuran Indikator "Tingkat Kematangan Penggunaan Data Statistik Sektoral untuk Perencanaan, Monitoring, dan Evaluasi, dan / atau Penyusunan Kebijakan" bertujuan untuk </t>
  </si>
  <si>
    <t>Mengidentifikasi proses pemahaman pengguna data terhadap data yang dihasilkan produsen data</t>
  </si>
  <si>
    <t>Mengidentifikasi apakah Instansi Pusat dan Pemerintah Daerah terkait telah memanfaatkan berbagai data statistik sektoral yang tersedia di internal/eksternal Instansi Pusat dan Pemerintah Daerah untuk mendukung pembangunan nasional serta jalannya pemerintahan, khususnya dalam aspek perencanaan, monitoring, dan evaluasi di instansi yang bersangkutan.</t>
  </si>
  <si>
    <t>Memastikan bahwa data/informasi yang didiseminasikan dapat digabungkan dan digunakan secara bersama, termasuk data dari berbagai sumber yang berbeda.</t>
  </si>
  <si>
    <t>Alur sub-proses tidak harus berurutan dan iterasi tidak dimungkinkan</t>
  </si>
  <si>
    <t>Alur sub-proses tidak harus berurutan dan dimungkinkan adanya iterasi</t>
  </si>
  <si>
    <t>Merupakan sebuah matriks sehingga terdapat banyak kemungkinan urutan sub-proses</t>
  </si>
  <si>
    <t>Menunjukkan bagaimana statistik dibutuhkan oleh berbagai pihak baik internal maupun eksternal.</t>
  </si>
  <si>
    <t>PRETEST</t>
  </si>
  <si>
    <t>Salah semua</t>
  </si>
  <si>
    <t>Berikut ini yang bukan merupakan proses manajemen risiko TI yaitu</t>
  </si>
  <si>
    <t>Kepemimpinan dan komitmen</t>
  </si>
  <si>
    <t>Komunikasi dan konsultasi</t>
  </si>
  <si>
    <t>Penilaian risiko TI</t>
  </si>
  <si>
    <t>Pemantauan dan reviu</t>
  </si>
  <si>
    <t>Informasi yang harus didapatkan saat proses identifikasi risiko TI yaitu, kecuali</t>
  </si>
  <si>
    <t>Jenis risiko TI</t>
  </si>
  <si>
    <t>Penyebab risiko TI</t>
  </si>
  <si>
    <t>Level risiko TI</t>
  </si>
  <si>
    <t>Kategori risiko TI</t>
  </si>
  <si>
    <t>Cara menentukan besaran nilai risiko TI pada matrik analisis risiko TI yaitu</t>
  </si>
  <si>
    <t>Angka berurutan dari 1 sampai dengan hasil perkalian antara jumlah level kemungkinan dan jumlah level dampak</t>
  </si>
  <si>
    <t>Angka hasil dari perkalian antara level kemungkinan dan level dampak</t>
  </si>
  <si>
    <t>Nilai acuan yang digunakan sebagai ambang batas minimum terhadap besaran risiko TI yang harus ditangani merupakan pengertian dari …</t>
  </si>
  <si>
    <t>PRAKOM</t>
  </si>
  <si>
    <t>//PRAKOMAHLI_PRETEST</t>
  </si>
  <si>
    <t>Menurut Mayer, multimedia akan lebih maksimal jika menggunakan gabungan dari grafik dan narasi, dibandingkan dengan hanya penggunaan grafik saja atau narasi saja. Prinsip ini disebut</t>
  </si>
  <si>
    <t>Redundansi</t>
  </si>
  <si>
    <t>Kedekatan sementara</t>
  </si>
  <si>
    <t>Penandanaan</t>
  </si>
  <si>
    <t>Koherensi</t>
  </si>
  <si>
    <t>Peta tematik disebut juga dengan</t>
  </si>
  <si>
    <t>Peta Umum</t>
  </si>
  <si>
    <t>Peta Khusus</t>
  </si>
  <si>
    <t>Peta Topografi</t>
  </si>
  <si>
    <t>Peta Dunia</t>
  </si>
  <si>
    <t>Konten yang merupakan kombinasi dari teks, suara, gambar, animasi, dan video yang dimanipulasi secara digital disebut</t>
  </si>
  <si>
    <t>Adsense</t>
  </si>
  <si>
    <t>Multilevel</t>
  </si>
  <si>
    <t>Multimedia</t>
  </si>
  <si>
    <t>Flowchart</t>
  </si>
  <si>
    <t>Pengujian aplikasi yang dilakukan oleh pengguna menggunakan perangkat masing-masing disebut juga dengan</t>
  </si>
  <si>
    <t>User Acceptance</t>
  </si>
  <si>
    <t>Integration Test</t>
  </si>
  <si>
    <t>Destructive Test</t>
  </si>
  <si>
    <t>Latency Test</t>
  </si>
  <si>
    <t>Keseluruhan inisiatif TI yang terdiri dari visi, misi, tujuan, prinsip, dan taktik yang berkaitan dengan pemanfaatan TI dalam organisasi tertuang di dalam</t>
  </si>
  <si>
    <t>Kebijakan TI</t>
  </si>
  <si>
    <t>Strategi TI</t>
  </si>
  <si>
    <t>Tata Kelola TI</t>
  </si>
  <si>
    <t>Roadmap TI</t>
  </si>
  <si>
    <t>Suatu strategi yang spesifik untuk melaksanakan suatu rencana TI yang telah disusun agar dapat berjalan dan diimplementasikan sesuai dengan target yang diinginkan dengan menggunakan sumber daya seefektif dan seefisien mungkin</t>
  </si>
  <si>
    <t>Strategi Layanan TI</t>
  </si>
  <si>
    <t>Strategi Pembiayaan TI</t>
  </si>
  <si>
    <t>Strategi Operasional TI</t>
  </si>
  <si>
    <r>
      <t xml:space="preserve">Berikut ini yang </t>
    </r>
    <r>
      <rPr>
        <b/>
        <sz val="12"/>
        <color rgb="FF000000"/>
        <rFont val="Calibri"/>
        <family val="2"/>
      </rPr>
      <t>bukan</t>
    </r>
    <r>
      <rPr>
        <sz val="12"/>
        <color rgb="FF000000"/>
        <rFont val="Calibri"/>
        <family val="2"/>
      </rPr>
      <t xml:space="preserve"> manfaat yang bisa didapatkan dari pengembangan Enterprise Architecture adalah</t>
    </r>
  </si>
  <si>
    <t xml:space="preserve">Mempunyai portofolio aplikasi dan teknologi yang dapat digunakan untuk pengelolaan TIK </t>
  </si>
  <si>
    <t>Dapat dijadikan dasar pengembangan manajemen risiko</t>
  </si>
  <si>
    <t xml:space="preserve">Mempunyai informasi kebutuhan pengguna untuk dasar pengembangan aplikasi </t>
  </si>
  <si>
    <t>Dasar perencanaan strategi dan pengambilan kebijakan</t>
  </si>
  <si>
    <t>Prinsip utama yang harus dipegang dalam penyusunan Strategi TI adalah</t>
  </si>
  <si>
    <t>Keselarasan strategi TI dengan strategi bisnis organisasi</t>
  </si>
  <si>
    <t>Pemerataan program kegiatan TI organisasi</t>
  </si>
  <si>
    <t>Benar Semua</t>
  </si>
  <si>
    <t>Salah Semua</t>
  </si>
  <si>
    <t>Model yang digunakan untuk mengukur tingkat kematangan keselarasan bisnis dan TI adalah</t>
  </si>
  <si>
    <t>Strategic Alignment Maturity Model (SAMM)</t>
  </si>
  <si>
    <t>Technology Acceptance Model (TAM)</t>
  </si>
  <si>
    <t>Architecture Development Method (ADM)</t>
  </si>
  <si>
    <t>Capability Maturity Model Integration (CMMI)</t>
  </si>
  <si>
    <t>Apakah yang dimaksud dengan spesifikasi teknis? </t>
  </si>
  <si>
    <t>syarat-syarat barang/jasa yang sedang popular</t>
  </si>
  <si>
    <t>ketentuan tenknis barang yang dijual di pasaran</t>
  </si>
  <si>
    <t>rincian fitur barang/jasa yang ditawarkan</t>
  </si>
  <si>
    <t>Deskripsi harga menurut jenis barang/jasa</t>
  </si>
  <si>
    <t>011</t>
  </si>
  <si>
    <t>012</t>
  </si>
  <si>
    <t>Untuk dapat melakukan komunikasi menggunakan VOIP dibutuhkan beberapa komponen pendukung. Ada beberapa komponen pendukung yang harus ada dalam VOIP salah satunya adalah</t>
  </si>
  <si>
    <t>Sender</t>
  </si>
  <si>
    <t>Protocol</t>
  </si>
  <si>
    <t>Data</t>
  </si>
  <si>
    <t>Server</t>
  </si>
  <si>
    <t>013</t>
  </si>
  <si>
    <t>014</t>
  </si>
  <si>
    <t>015</t>
  </si>
  <si>
    <t>016</t>
  </si>
  <si>
    <t>017</t>
  </si>
  <si>
    <t>Bekerja menggunakan algoritma tertentu untuk membantu dalam memecah, mengurutkan, mengkompresi, dan merakit ulang audio data yang ditransmisikan adalah </t>
  </si>
  <si>
    <t>Softphone</t>
  </si>
  <si>
    <t>VoIP server</t>
  </si>
  <si>
    <t>Proses codec</t>
  </si>
  <si>
    <t>Sebelum tahap penyerahan, infrastruktur TI hasil pengadaan harus diperiksa kesesuaiannya dengan</t>
  </si>
  <si>
    <t>Spesifikasi teknis</t>
  </si>
  <si>
    <t>Brosur</t>
  </si>
  <si>
    <t>Penawaran harga</t>
  </si>
  <si>
    <t>spesifikasi pengguna</t>
  </si>
  <si>
    <t>Sebutkan proses-proses yang di cakup service strategy pada ITIL!</t>
  </si>
  <si>
    <t>Service Portfolio Management, Financial Management, Demand Management</t>
  </si>
  <si>
    <t>Service Level Management, Supplier Management, CApacity Management</t>
  </si>
  <si>
    <t>Availibility Management, IT Service Continuity Management, Capacity Management</t>
  </si>
  <si>
    <t>Information Security Management</t>
  </si>
  <si>
    <t>Fokus pada service desk merupakan bagian dari service mangement dan ini juga dipersyaratkan di dalam pengelolaan ISO           ITSM.</t>
  </si>
  <si>
    <t>20000 </t>
  </si>
  <si>
    <t>Proses yang berhubungan dengan pengelolaan perubahan infrastruktur atau aspek TI lainnya adalah</t>
  </si>
  <si>
    <t>Change Management</t>
  </si>
  <si>
    <t>Incident Management</t>
  </si>
  <si>
    <t>Service Request Management</t>
  </si>
  <si>
    <t>Problem Management</t>
  </si>
  <si>
    <t>Residual risiko</t>
  </si>
  <si>
    <t>Kriteria risiko</t>
  </si>
  <si>
    <t>Selera risiko</t>
  </si>
  <si>
    <t>Level risiko</t>
  </si>
  <si>
    <t>Aspek teknis</t>
  </si>
  <si>
    <t>Aspek hukum</t>
  </si>
  <si>
    <t>Aspek jadwal</t>
  </si>
  <si>
    <t>Aspek kinerja</t>
  </si>
  <si>
    <t>018</t>
  </si>
  <si>
    <t>019</t>
  </si>
  <si>
    <t>020</t>
  </si>
  <si>
    <t>021</t>
  </si>
  <si>
    <t>022</t>
  </si>
  <si>
    <t>023</t>
  </si>
  <si>
    <t>024</t>
  </si>
  <si>
    <t>025</t>
  </si>
  <si>
    <t>026</t>
  </si>
  <si>
    <t>027</t>
  </si>
  <si>
    <t>028</t>
  </si>
  <si>
    <t>029</t>
  </si>
  <si>
    <t>030</t>
  </si>
  <si>
    <t>Manakah dari pilihan jawaban berikut ini yang TIDAK termasuk aspek-aspek TELOS pada studi kelayakan pengolahan data?</t>
  </si>
  <si>
    <t>Suatu studi yang akan digunakan untuk menentukan kemungkinan apakah suatu kegiatan layak diteruskan atau dihentikan merupakan pengertian dari ….</t>
  </si>
  <si>
    <t>fact-finding analysis</t>
  </si>
  <si>
    <t>feasibility study</t>
  </si>
  <si>
    <t>research design</t>
  </si>
  <si>
    <t>FGD</t>
  </si>
  <si>
    <t>Metode pemuatan data jika volume data nya sangat besar dan organisasi tidak membutuhkan pengaksesan data secara realtime, yaitu menggunakan …..</t>
  </si>
  <si>
    <t>temporary processing</t>
  </si>
  <si>
    <t>redudancy processing</t>
  </si>
  <si>
    <t>realtime processing</t>
  </si>
  <si>
    <t>batch processing</t>
  </si>
  <si>
    <t xml:space="preserve">Troughput adalah </t>
  </si>
  <si>
    <t>Ukuran bit yang ditransfer melintasi media selama periode waktu tertentu</t>
  </si>
  <si>
    <t>Jaminan kecepatan transfer data yang ditawarkan oleh ISP</t>
  </si>
  <si>
    <t>Waktu yang dibutuhkan sebuah pesan untuk sampai dari pengirim ke penerima</t>
  </si>
  <si>
    <t>Ukuran data yang dapat digunakan yang ditransfer melalui media</t>
  </si>
  <si>
    <t>Dalam perancangan jaringan komputer, ada istilah yang digunakan dalam pengaturan fisik dan logis dari node dan koneksi dalam jaringan dinamakan…</t>
  </si>
  <si>
    <t>Topologi</t>
  </si>
  <si>
    <t>Segmen</t>
  </si>
  <si>
    <t>Routing</t>
  </si>
  <si>
    <t>Layer</t>
  </si>
  <si>
    <t>Pada suatu jaringan dengan Subnet mask 255.255.255.0 memiliki jumlah IP yg bs dipakai sebagai host sebanyak</t>
  </si>
  <si>
    <t>Berikut adalah pernyataan yang kurang tepat mengenai sistem informasi …</t>
  </si>
  <si>
    <t>Sistem informasi adalah informasi yang diolah menjadi bentuk yang berguna bagi para pemakainya</t>
  </si>
  <si>
    <t>Sistem informasi mendukung operasi dan manajemen dalam suatu organisasi</t>
  </si>
  <si>
    <t>Sistem informasi melibatkan interaksi antara manusia dengan mesin</t>
  </si>
  <si>
    <t>Dalam pembangunan dan penerapannya, sistem informasi biasanya menggunakan computer</t>
  </si>
  <si>
    <t xml:space="preserve">Berikut ini yang BUKAN merupakan bagian dari PIECES adalah </t>
  </si>
  <si>
    <t>Effective</t>
  </si>
  <si>
    <t>Control</t>
  </si>
  <si>
    <t>Services</t>
  </si>
  <si>
    <t>Information</t>
  </si>
  <si>
    <t>Berikut ini yang BUKAN merupakan pedoman dalam membuat formulir input adalah ….</t>
  </si>
  <si>
    <t>Buatlah formulir yang kompleks</t>
  </si>
  <si>
    <t>Memastikan bahwa formulir akan memenuhi tujuan yang telah dibuat</t>
  </si>
  <si>
    <t>Membuat formulir yang akurat</t>
  </si>
  <si>
    <t>Membuat formulir mudah diisi</t>
  </si>
  <si>
    <t>Tim Auditor berkewajiban memberi laporan mengenai hasil dan kinerja audit yang dilaksanakan dalam sebuah</t>
  </si>
  <si>
    <t>Closing meeting</t>
  </si>
  <si>
    <t>Kuiesioner</t>
  </si>
  <si>
    <t>Wawancara</t>
  </si>
  <si>
    <t>Posisi dalam Tim Audit TI yang bertugas membantu Auditor dalam pengumpulan data lapangan adalah</t>
  </si>
  <si>
    <t>Asisten Auditor</t>
  </si>
  <si>
    <t>Penaggungjawab</t>
  </si>
  <si>
    <t>Teknis</t>
  </si>
  <si>
    <t>Narasumber</t>
  </si>
  <si>
    <t>031</t>
  </si>
  <si>
    <t>032</t>
  </si>
  <si>
    <t>033</t>
  </si>
  <si>
    <t>034</t>
  </si>
  <si>
    <t>035</t>
  </si>
  <si>
    <t>036</t>
  </si>
  <si>
    <t>037</t>
  </si>
  <si>
    <t>038</t>
  </si>
  <si>
    <t>039</t>
  </si>
  <si>
    <t xml:space="preserve">Dalam menggunakan pendekatan dan metode Audit TI, auditor perlu memperhatikan </t>
  </si>
  <si>
    <t>Bukti-bukti audit</t>
  </si>
  <si>
    <t>Manfaat audit TI</t>
  </si>
  <si>
    <t>fase pre-implementation dan post-implementation</t>
  </si>
  <si>
    <t>kesesuaian dengan peraturan perundang-undangan, kode etik, dan standar profesi yang berlaku</t>
  </si>
  <si>
    <t>Proses manajemen data adalah merancang bagaimana mengelola data sehingga menghasilkan manfaat besar untuk institusi adalah</t>
  </si>
  <si>
    <t>Penghematan biaya</t>
  </si>
  <si>
    <t>Kapasitas penyimpanan yang besar</t>
  </si>
  <si>
    <t>All eggs in one basket</t>
  </si>
  <si>
    <t>Kerumitan dalam mengakses data</t>
  </si>
  <si>
    <t>Peran apa yang merupakan tanggungjawab seorang ilmuwan data?</t>
  </si>
  <si>
    <t>Permodelan data</t>
  </si>
  <si>
    <t>Administrasi database</t>
  </si>
  <si>
    <t>Arsitektur data</t>
  </si>
  <si>
    <t>Keamanan data</t>
  </si>
  <si>
    <t>Panduan pengelolaan data yang dijadikan acuan internasional adalah..</t>
  </si>
  <si>
    <t>DMBOK</t>
  </si>
  <si>
    <t>PMBOK</t>
  </si>
  <si>
    <t>TOGAF</t>
  </si>
  <si>
    <t>COBIT</t>
  </si>
  <si>
    <t>Apa yang dimaksud dengan retensi data?</t>
  </si>
  <si>
    <t>Berapa lama data tetap tersedia pada media penyimpanan</t>
  </si>
  <si>
    <t>Seberapa toleran suatu sistem terhadap kondisi kesalahan atau kegagalan</t>
  </si>
  <si>
    <t>Seberapa efektif sistem dapat menolak hal yang seharusnya tidak ada di dalam system</t>
  </si>
  <si>
    <t>Proses menghapus secara keseluruhan dan tidak bisa dikembalikan ulang</t>
  </si>
  <si>
    <t>Mana yang merupakan langkah terakhir dari siklus hidup data</t>
  </si>
  <si>
    <t>Pemusnahan</t>
  </si>
  <si>
    <t>Penyimpanan</t>
  </si>
  <si>
    <t>Penggunaan</t>
  </si>
  <si>
    <t>Peningkatan</t>
  </si>
  <si>
    <t>Pranata Komputer wajib menyusun SKP berdasarkan penetapan target kinerja unit kerja yang bersangkutan pada awal tahun merupakan isi dari peraturan apa?</t>
  </si>
  <si>
    <t>Permenpan RB 2 tahun 2021</t>
  </si>
  <si>
    <t>Permenpan RB 32 tahun 2020</t>
  </si>
  <si>
    <t>Perban 2 tahun 2021</t>
  </si>
  <si>
    <t>Perban 32 tahun 2020</t>
  </si>
  <si>
    <t>Pada Permenpan RB No.8 tahun 2021 disebutkan bahwa</t>
  </si>
  <si>
    <t>Semua pegawai membuat format SKP yang sama</t>
  </si>
  <si>
    <t>Isian SKP berupa Kegiatan Tugas Jabatan (KTJ) atau Aktivitas atau kegiatan</t>
  </si>
  <si>
    <t>Tidak ada lampiran reviu SKP</t>
  </si>
  <si>
    <t>Ada Indikator Kinerja Individu (IKI)</t>
  </si>
  <si>
    <t>Yang tercantum pada formulir bukti fisik oleh seorang pejabat pranata komputer adalah berikut ini, kecuali</t>
  </si>
  <si>
    <t>Identitas pejabat Pranata Komputer (PPK)</t>
  </si>
  <si>
    <t>Nama butir kegiatan sesuai dengan Permenpan RB</t>
  </si>
  <si>
    <t>Angka kredit yang telah ditetapkan</t>
  </si>
  <si>
    <t>Tanggal dan lokasi kegiatan dilakukan</t>
  </si>
  <si>
    <t>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</si>
</sst>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rgb="FFFF0000"/>
      <name val="Calibri"/>
      <family val="2"/>
      <scheme val="minor"/>
    </font>
    <font>
      <sz val="8"/>
      <name val="Calibri"/>
      <family val="2"/>
      <scheme val="minor"/>
    </font>
    <font>
      <sz val="11"/>
      <color rgb="FF000000"/>
      <name val="Calibri"/>
      <family val="2"/>
      <scheme val="minor"/>
    </font>
    <font>
      <b/>
      <sz val="11"/>
      <color rgb="FF000000"/>
      <name val="Calibri"/>
      <family val="2"/>
      <scheme val="minor"/>
    </font>
    <font>
      <sz val="12"/>
      <color theme="1"/>
      <name val="Calibri"/>
      <family val="2"/>
      <scheme val="minor"/>
    </font>
    <font>
      <sz val="12"/>
      <color rgb="FF000000"/>
      <name val="Calibri"/>
      <family val="2"/>
    </font>
    <font>
      <sz val="10"/>
      <color rgb="FF000000"/>
      <name val="Roboto"/>
    </font>
    <font>
      <b/>
      <sz val="12"/>
      <color rgb="FF000000"/>
      <name val="Calibri"/>
      <family val="2"/>
    </font>
    <font>
      <sz val="11"/>
      <color rgb="FF000000"/>
      <name val="Calibri"/>
      <family val="2"/>
    </font>
    <font>
      <b/>
      <sz val="11"/>
      <color rgb="FF000000"/>
      <name val="Calibri"/>
      <family val="2"/>
    </font>
    <font>
      <sz val="11"/>
      <color rgb="FFFF0000"/>
      <name val="Calibri"/>
      <family val="2"/>
    </font>
    <font>
      <sz val="11"/>
      <color theme="1"/>
      <name val="Calibri"/>
      <family val="2"/>
    </font>
    <font>
      <i/>
      <sz val="12"/>
      <color rgb="FF000000"/>
      <name val="Calibri"/>
      <family val="2"/>
      <scheme val="minor"/>
    </font>
    <font>
      <b/>
      <i/>
      <sz val="12"/>
      <color rgb="FF000000"/>
      <name val="Calibri"/>
      <family val="2"/>
      <scheme val="minor"/>
    </font>
    <font>
      <sz val="11"/>
      <color rgb="FF000000"/>
      <name val="Arial"/>
      <family val="2"/>
    </font>
    <font>
      <b/>
      <sz val="11"/>
      <color rgb="FF000000"/>
      <name val="Arial"/>
      <family val="2"/>
    </font>
    <font>
      <sz val="12"/>
      <color rgb="FF000000"/>
      <name val="Calibri"/>
      <family val="2"/>
      <scheme val="minor"/>
    </font>
    <font>
      <b/>
      <sz val="12"/>
      <color rgb="FF000000"/>
      <name val="Calibri"/>
      <family val="2"/>
      <scheme val="minor"/>
    </font>
    <font>
      <sz val="10"/>
      <color rgb="FF000000"/>
      <name val="Arial"/>
      <family val="2"/>
    </font>
    <font>
      <b/>
      <sz val="10"/>
      <color rgb="FF00000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5" fillId="0" borderId="0"/>
  </cellStyleXfs>
  <cellXfs count="39">
    <xf numFmtId="0" fontId="0" fillId="0" borderId="0" xfId="0"/>
    <xf numFmtId="0" fontId="0" fillId="0" borderId="0" xfId="0" applyAlignment="1"/>
    <xf numFmtId="0" fontId="3" fillId="0" borderId="0" xfId="0" applyFont="1" applyBorder="1" applyAlignment="1">
      <alignment vertical="center" wrapText="1"/>
    </xf>
    <xf numFmtId="0" fontId="1" fillId="0" borderId="0" xfId="0" applyFont="1" applyBorder="1" applyAlignment="1">
      <alignment vertical="center" wrapText="1"/>
    </xf>
    <xf numFmtId="0" fontId="0" fillId="0" borderId="0" xfId="0" applyBorder="1"/>
    <xf numFmtId="0" fontId="1" fillId="0" borderId="0" xfId="0" applyFont="1" applyAlignment="1"/>
    <xf numFmtId="0" fontId="4" fillId="0" borderId="0" xfId="0" applyFont="1" applyAlignment="1">
      <alignment vertical="center"/>
    </xf>
    <xf numFmtId="0" fontId="3" fillId="0" borderId="0" xfId="0" applyFont="1" applyAlignment="1">
      <alignment vertical="center"/>
    </xf>
    <xf numFmtId="0" fontId="7" fillId="0" borderId="0" xfId="0" applyFont="1" applyAlignment="1">
      <alignment vertical="center"/>
    </xf>
    <xf numFmtId="0" fontId="6"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xf numFmtId="0" fontId="12" fillId="0" borderId="0" xfId="0" applyFont="1" applyAlignment="1"/>
    <xf numFmtId="0" fontId="12" fillId="0" borderId="0" xfId="0" applyFont="1"/>
    <xf numFmtId="0" fontId="9"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vertical="center"/>
    </xf>
    <xf numFmtId="0" fontId="3" fillId="0" borderId="0" xfId="0" applyFont="1"/>
    <xf numFmtId="0" fontId="4" fillId="0" borderId="0" xfId="0" applyFont="1"/>
    <xf numFmtId="0" fontId="9" fillId="0" borderId="0" xfId="0" applyFont="1" applyAlignment="1">
      <alignment horizontal="left" vertical="center"/>
    </xf>
    <xf numFmtId="0" fontId="10" fillId="0" borderId="0" xfId="0" applyFont="1" applyAlignment="1">
      <alignment horizontal="lef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18" fillId="0" borderId="0" xfId="0" applyFont="1" applyAlignment="1">
      <alignment vertical="center"/>
    </xf>
    <xf numFmtId="0" fontId="15" fillId="0" borderId="0" xfId="0" applyFont="1" applyAlignment="1">
      <alignment horizontal="left" vertical="center"/>
    </xf>
    <xf numFmtId="0" fontId="4" fillId="0" borderId="0" xfId="0" applyFont="1" applyAlignment="1">
      <alignment horizontal="left" vertical="center"/>
    </xf>
    <xf numFmtId="0" fontId="3" fillId="0" borderId="0" xfId="0" applyFont="1" applyAlignment="1">
      <alignment horizontal="left" vertical="center"/>
    </xf>
    <xf numFmtId="0" fontId="17" fillId="0" borderId="0" xfId="0" applyFont="1" applyAlignment="1">
      <alignment horizontal="left" vertical="center"/>
    </xf>
    <xf numFmtId="0" fontId="18" fillId="0" borderId="0" xfId="0" applyFont="1" applyAlignment="1">
      <alignment horizontal="left" vertical="center"/>
    </xf>
    <xf numFmtId="0" fontId="5" fillId="0" borderId="0" xfId="0" applyFont="1" applyAlignment="1">
      <alignment horizontal="left"/>
    </xf>
    <xf numFmtId="0" fontId="19" fillId="0" borderId="0" xfId="0" applyFont="1" applyAlignment="1">
      <alignment vertical="center"/>
    </xf>
    <xf numFmtId="0" fontId="20" fillId="0" borderId="0" xfId="0" applyFont="1" applyAlignment="1">
      <alignment vertical="center"/>
    </xf>
    <xf numFmtId="0" fontId="12" fillId="0" borderId="0" xfId="0" quotePrefix="1" applyFont="1" applyAlignment="1">
      <alignment horizontal="center" vertical="center"/>
    </xf>
    <xf numFmtId="0" fontId="12" fillId="0" borderId="0" xfId="0" applyFont="1" applyAlignment="1">
      <alignment horizontal="left" vertical="top" wrapText="1"/>
    </xf>
  </cellXfs>
  <cellStyles count="2">
    <cellStyle name="Normal" xfId="0" builtinId="0"/>
    <cellStyle name="Normal 2" xfId="1" xr:uid="{8307E3E6-E9FF-408D-AEA9-9E75EB4C36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abSelected="1" topLeftCell="A189" zoomScaleNormal="100" workbookViewId="0">
      <selection activeCell="D197" sqref="D197:D201"/>
    </sheetView>
  </sheetViews>
  <sheetFormatPr defaultRowHeight="15" customHeight="1" x14ac:dyDescent="0.35"/>
  <cols>
    <col min="1" max="1" width="47.90625" style="5" customWidth="1"/>
    <col min="2" max="2" width="5.453125" style="1" bestFit="1" customWidth="1"/>
    <col min="3" max="3" width="14.54296875" style="1" bestFit="1" customWidth="1"/>
    <col min="4" max="4" width="20.54296875" customWidth="1"/>
    <col min="5" max="8" width="5.453125" customWidth="1"/>
    <col min="9" max="9" width="82.453125" customWidth="1"/>
    <col min="10" max="10" width="88.54296875" customWidth="1"/>
  </cols>
  <sheetData>
    <row r="1" spans="1:10" ht="15" customHeight="1" x14ac:dyDescent="0.35">
      <c r="A1" s="13" t="s">
        <v>115</v>
      </c>
      <c r="B1" s="14" t="s">
        <v>10</v>
      </c>
      <c r="C1" s="14" t="s">
        <v>131</v>
      </c>
      <c r="D1" s="15" t="s">
        <v>132</v>
      </c>
      <c r="E1" s="15"/>
      <c r="F1" s="15"/>
      <c r="G1" s="15"/>
      <c r="H1" s="15"/>
      <c r="I1" s="15"/>
      <c r="J1" s="15"/>
    </row>
    <row r="2" spans="1:10" ht="14.5" x14ac:dyDescent="0.35">
      <c r="A2" s="11" t="s">
        <v>133</v>
      </c>
      <c r="B2" s="16"/>
      <c r="C2" s="16"/>
      <c r="D2" s="37" t="str">
        <f>CONCATENATE("::",$A$1,"_",$C$1,"_")</f>
        <v>::PRETEST_PRAKOM_</v>
      </c>
      <c r="E2" s="37" t="s">
        <v>0</v>
      </c>
      <c r="F2" s="37" t="s">
        <v>12</v>
      </c>
      <c r="G2" s="37" t="s">
        <v>13</v>
      </c>
      <c r="H2" s="37" t="s">
        <v>11</v>
      </c>
      <c r="I2" s="15" t="str">
        <f>CONCATENATE(D2,E2,F2,H2,A2," \:{")</f>
        <v>::PRETEST_PRAKOM_001::[html]Menurut Mayer, multimedia akan lebih maksimal jika menggunakan gabungan dari grafik dan narasi, dibandingkan dengan hanya penggunaan grafik saja atau narasi saja. Prinsip ini disebut \:{</v>
      </c>
      <c r="J2" s="38" t="str">
        <f>CONCATENATE(I2,I3,I4,I5,I6)</f>
        <v>::PRETEST_PRAKOM_001::[html]Menurut Mayer, multimedia akan lebih maksimal jika menggunakan gabungan dari grafik dan narasi, dibandingkan dengan hanya penggunaan grafik saja atau narasi saja. Prinsip ini disebut \:{=[moodle]Redundansi ~[moodle]Kedekatan sementara ~[moodle]Penandanaan ~[moodle]Koherensi}</v>
      </c>
    </row>
    <row r="3" spans="1:10" ht="14.5" x14ac:dyDescent="0.35">
      <c r="A3" s="12" t="s">
        <v>134</v>
      </c>
      <c r="B3" s="16">
        <v>1</v>
      </c>
      <c r="C3" s="17"/>
      <c r="D3" s="37"/>
      <c r="E3" s="37"/>
      <c r="F3" s="37"/>
      <c r="G3" s="37"/>
      <c r="H3" s="37"/>
      <c r="I3" s="15" t="str">
        <f>IF(B3=1,CONCATENATE("=",G2,A3," "),CONCATENATE("~",G2,A3," "))</f>
        <v xml:space="preserve">=[moodle]Redundansi </v>
      </c>
      <c r="J3" s="38"/>
    </row>
    <row r="4" spans="1:10" ht="15" customHeight="1" x14ac:dyDescent="0.35">
      <c r="A4" s="11" t="s">
        <v>135</v>
      </c>
      <c r="B4" s="16">
        <v>0</v>
      </c>
      <c r="C4" s="16"/>
      <c r="D4" s="37"/>
      <c r="E4" s="37"/>
      <c r="F4" s="37"/>
      <c r="G4" s="37"/>
      <c r="H4" s="37"/>
      <c r="I4" s="15" t="str">
        <f>IF(B4=1,CONCATENATE("=",G2,A4," "),CONCATENATE("~",G2,A4," "))</f>
        <v xml:space="preserve">~[moodle]Kedekatan sementara </v>
      </c>
      <c r="J4" s="38"/>
    </row>
    <row r="5" spans="1:10" ht="15" customHeight="1" x14ac:dyDescent="0.35">
      <c r="A5" s="11" t="s">
        <v>136</v>
      </c>
      <c r="B5" s="16">
        <v>0</v>
      </c>
      <c r="C5" s="16"/>
      <c r="D5" s="37"/>
      <c r="E5" s="37"/>
      <c r="F5" s="37"/>
      <c r="G5" s="37"/>
      <c r="H5" s="37"/>
      <c r="I5" s="15" t="str">
        <f>IF(B5=1,CONCATENATE("=",G2,A5," "),CONCATENATE("~",G2,A5," "))</f>
        <v xml:space="preserve">~[moodle]Penandanaan </v>
      </c>
      <c r="J5" s="38"/>
    </row>
    <row r="6" spans="1:10" ht="15" customHeight="1" x14ac:dyDescent="0.35">
      <c r="A6" s="11" t="s">
        <v>137</v>
      </c>
      <c r="B6" s="16">
        <v>0</v>
      </c>
      <c r="C6" s="16"/>
      <c r="D6" s="37"/>
      <c r="E6" s="37"/>
      <c r="F6" s="37"/>
      <c r="G6" s="37"/>
      <c r="H6" s="37"/>
      <c r="I6" s="15" t="str">
        <f>IF(B6=1,CONCATENATE("=",G2,A6,"}"),CONCATENATE("~",G2,A6,"}"))</f>
        <v>~[moodle]Koherensi}</v>
      </c>
      <c r="J6" s="38"/>
    </row>
    <row r="7" spans="1:10" ht="14.5" x14ac:dyDescent="0.35">
      <c r="A7" s="11" t="s">
        <v>138</v>
      </c>
      <c r="B7" s="16"/>
      <c r="C7" s="16"/>
      <c r="D7" s="37" t="str">
        <f t="shared" ref="D7" si="0">CONCATENATE("::",$A$1,"_",$C$1,"_")</f>
        <v>::PRETEST_PRAKOM_</v>
      </c>
      <c r="E7" s="37" t="s">
        <v>1</v>
      </c>
      <c r="F7" s="37" t="s">
        <v>12</v>
      </c>
      <c r="G7" s="37" t="s">
        <v>13</v>
      </c>
      <c r="H7" s="37" t="s">
        <v>11</v>
      </c>
      <c r="I7" s="15" t="str">
        <f>CONCATENATE(D7,E7,F7,H7,A7," \:{")</f>
        <v>::PRETEST_PRAKOM_002::[html]Peta tematik disebut juga dengan \:{</v>
      </c>
      <c r="J7" s="38" t="str">
        <f>CONCATENATE(I7,I8,I9,I10,I11)</f>
        <v>::PRETEST_PRAKOM_002::[html]Peta tematik disebut juga dengan \:{~[moodle]Peta Umum =[moodle]Peta Khusus ~[moodle]Peta Topografi ~[moodle]Peta Dunia}</v>
      </c>
    </row>
    <row r="8" spans="1:10" ht="14.5" x14ac:dyDescent="0.35">
      <c r="A8" s="11" t="s">
        <v>139</v>
      </c>
      <c r="B8" s="16">
        <v>0</v>
      </c>
      <c r="C8" s="16"/>
      <c r="D8" s="37"/>
      <c r="E8" s="37"/>
      <c r="F8" s="37"/>
      <c r="G8" s="37"/>
      <c r="H8" s="37"/>
      <c r="I8" s="15" t="str">
        <f>IF(B8=1,CONCATENATE("=",$G$7,A8," "),CONCATENATE("~",$G$7,A8," "))</f>
        <v xml:space="preserve">~[moodle]Peta Umum </v>
      </c>
      <c r="J8" s="38"/>
    </row>
    <row r="9" spans="1:10" ht="14.5" x14ac:dyDescent="0.35">
      <c r="A9" s="12" t="s">
        <v>140</v>
      </c>
      <c r="B9" s="16">
        <v>1</v>
      </c>
      <c r="C9" s="17"/>
      <c r="D9" s="37"/>
      <c r="E9" s="37"/>
      <c r="F9" s="37"/>
      <c r="G9" s="37"/>
      <c r="H9" s="37"/>
      <c r="I9" s="15" t="str">
        <f t="shared" ref="I9:I10" si="1">IF(B9=1,CONCATENATE("=",$G$7,A9," "),CONCATENATE("~",$G$7,A9," "))</f>
        <v xml:space="preserve">=[moodle]Peta Khusus </v>
      </c>
      <c r="J9" s="38"/>
    </row>
    <row r="10" spans="1:10" ht="14.5" x14ac:dyDescent="0.35">
      <c r="A10" s="11" t="s">
        <v>141</v>
      </c>
      <c r="B10" s="16">
        <v>0</v>
      </c>
      <c r="C10" s="16"/>
      <c r="D10" s="37"/>
      <c r="E10" s="37"/>
      <c r="F10" s="37"/>
      <c r="G10" s="37"/>
      <c r="H10" s="37"/>
      <c r="I10" s="15" t="str">
        <f t="shared" si="1"/>
        <v xml:space="preserve">~[moodle]Peta Topografi </v>
      </c>
      <c r="J10" s="38"/>
    </row>
    <row r="11" spans="1:10" ht="15" customHeight="1" x14ac:dyDescent="0.35">
      <c r="A11" s="11" t="s">
        <v>142</v>
      </c>
      <c r="B11" s="16">
        <v>0</v>
      </c>
      <c r="C11" s="16"/>
      <c r="D11" s="37"/>
      <c r="E11" s="37"/>
      <c r="F11" s="37"/>
      <c r="G11" s="37"/>
      <c r="H11" s="37"/>
      <c r="I11" s="15" t="str">
        <f>IF(B11=1,CONCATENATE("=",$G$7,A11,"}"),CONCATENATE("~",$G$7,A11,"}"))</f>
        <v>~[moodle]Peta Dunia}</v>
      </c>
      <c r="J11" s="38"/>
    </row>
    <row r="12" spans="1:10" ht="14.5" x14ac:dyDescent="0.35">
      <c r="A12" s="11" t="s">
        <v>143</v>
      </c>
      <c r="B12" s="16"/>
      <c r="C12" s="16"/>
      <c r="D12" s="37" t="str">
        <f t="shared" ref="D12" si="2">CONCATENATE("::",$A$1,"_",$C$1,"_")</f>
        <v>::PRETEST_PRAKOM_</v>
      </c>
      <c r="E12" s="37" t="s">
        <v>2</v>
      </c>
      <c r="F12" s="37" t="s">
        <v>12</v>
      </c>
      <c r="G12" s="37" t="s">
        <v>13</v>
      </c>
      <c r="H12" s="37" t="s">
        <v>11</v>
      </c>
      <c r="I12" s="15" t="str">
        <f>CONCATENATE(D12,E12,F12,H12,A12," \:{")</f>
        <v>::PRETEST_PRAKOM_003::[html]Konten yang merupakan kombinasi dari teks, suara, gambar, animasi, dan video yang dimanipulasi secara digital disebut \:{</v>
      </c>
      <c r="J12" s="38" t="str">
        <f>CONCATENATE(I12,I13,I14,I15,I16)</f>
        <v>::PRETEST_PRAKOM_003::[html]Konten yang merupakan kombinasi dari teks, suara, gambar, animasi, dan video yang dimanipulasi secara digital disebut \:{~[moodle]Adsense ~[moodle]Multilevel =[moodle]Multimedia ~[moodle]Flowchart}</v>
      </c>
    </row>
    <row r="13" spans="1:10" ht="15" customHeight="1" x14ac:dyDescent="0.35">
      <c r="A13" s="11" t="s">
        <v>144</v>
      </c>
      <c r="B13" s="16">
        <v>0</v>
      </c>
      <c r="C13" s="16"/>
      <c r="D13" s="37"/>
      <c r="E13" s="37"/>
      <c r="F13" s="37"/>
      <c r="G13" s="37"/>
      <c r="H13" s="37"/>
      <c r="I13" s="15" t="str">
        <f>IF(B13=1,CONCATENATE("=",$G$7,A13," "),CONCATENATE("~",$G$7,A13," "))</f>
        <v xml:space="preserve">~[moodle]Adsense </v>
      </c>
      <c r="J13" s="38"/>
    </row>
    <row r="14" spans="1:10" ht="15" customHeight="1" x14ac:dyDescent="0.35">
      <c r="A14" s="11" t="s">
        <v>145</v>
      </c>
      <c r="B14" s="16">
        <v>0</v>
      </c>
      <c r="C14" s="16"/>
      <c r="D14" s="37"/>
      <c r="E14" s="37"/>
      <c r="F14" s="37"/>
      <c r="G14" s="37"/>
      <c r="H14" s="37"/>
      <c r="I14" s="15" t="str">
        <f>IF(B14=1,CONCATENATE("=",$G$7,A14," "),CONCATENATE("~",$G$7,A14," "))</f>
        <v xml:space="preserve">~[moodle]Multilevel </v>
      </c>
      <c r="J14" s="38"/>
    </row>
    <row r="15" spans="1:10" ht="15" customHeight="1" x14ac:dyDescent="0.35">
      <c r="A15" s="12" t="s">
        <v>146</v>
      </c>
      <c r="B15" s="16">
        <v>1</v>
      </c>
      <c r="C15" s="17"/>
      <c r="D15" s="37"/>
      <c r="E15" s="37"/>
      <c r="F15" s="37"/>
      <c r="G15" s="37"/>
      <c r="H15" s="37"/>
      <c r="I15" s="15" t="str">
        <f>IF(B15=1,CONCATENATE("=",$G$7,A15," "),CONCATENATE("~",$G$7,A15," "))</f>
        <v xml:space="preserve">=[moodle]Multimedia </v>
      </c>
      <c r="J15" s="38"/>
    </row>
    <row r="16" spans="1:10" ht="15" customHeight="1" x14ac:dyDescent="0.35">
      <c r="A16" s="11" t="s">
        <v>147</v>
      </c>
      <c r="B16" s="16">
        <v>0</v>
      </c>
      <c r="C16" s="16"/>
      <c r="D16" s="37"/>
      <c r="E16" s="37"/>
      <c r="F16" s="37"/>
      <c r="G16" s="37"/>
      <c r="H16" s="37"/>
      <c r="I16" s="15" t="str">
        <f>IF(B16=1,CONCATENATE("=",$G$7,A16,"}"),CONCATENATE("~",$G$7,A16,"}"))</f>
        <v>~[moodle]Flowchart}</v>
      </c>
      <c r="J16" s="38"/>
    </row>
    <row r="17" spans="1:10" ht="14.5" x14ac:dyDescent="0.35">
      <c r="A17" s="11" t="s">
        <v>148</v>
      </c>
      <c r="B17" s="16"/>
      <c r="C17" s="16"/>
      <c r="D17" s="37" t="str">
        <f t="shared" ref="D17" si="3">CONCATENATE("::",$A$1,"_",$C$1,"_")</f>
        <v>::PRETEST_PRAKOM_</v>
      </c>
      <c r="E17" s="37" t="s">
        <v>3</v>
      </c>
      <c r="F17" s="37" t="s">
        <v>12</v>
      </c>
      <c r="G17" s="37" t="s">
        <v>13</v>
      </c>
      <c r="H17" s="37" t="s">
        <v>11</v>
      </c>
      <c r="I17" s="15" t="str">
        <f>CONCATENATE(D17,E17,F17,H17,A17," \:{")</f>
        <v>::PRETEST_PRAKOM_004::[html]Pengujian aplikasi yang dilakukan oleh pengguna menggunakan perangkat masing-masing disebut juga dengan \:{</v>
      </c>
      <c r="J17" s="38" t="str">
        <f>CONCATENATE(I18,I19,I20,I21)</f>
        <v>=[moodle]Pengujian aplikasi yang dilakukan oleh pengguna menggunakan perangkat masing-masing disebut juga dengan ~[moodle]Integration Test ~[moodle]Destructive Test ~[moodle]Latency Test}</v>
      </c>
    </row>
    <row r="18" spans="1:10" ht="15" customHeight="1" x14ac:dyDescent="0.35">
      <c r="A18" s="12" t="s">
        <v>149</v>
      </c>
      <c r="B18" s="16">
        <v>1</v>
      </c>
      <c r="C18" s="16"/>
      <c r="D18" s="37"/>
      <c r="E18" s="37"/>
      <c r="F18" s="37"/>
      <c r="G18" s="37"/>
      <c r="H18" s="37"/>
      <c r="I18" s="15" t="str">
        <f>IF(B18=1,CONCATENATE("=",$G$7,A17," "),CONCATENATE("~",$G$7,A17," "))</f>
        <v xml:space="preserve">=[moodle]Pengujian aplikasi yang dilakukan oleh pengguna menggunakan perangkat masing-masing disebut juga dengan </v>
      </c>
      <c r="J18" s="38"/>
    </row>
    <row r="19" spans="1:10" ht="15" customHeight="1" x14ac:dyDescent="0.35">
      <c r="A19" s="11" t="s">
        <v>150</v>
      </c>
      <c r="B19" s="16">
        <v>0</v>
      </c>
      <c r="C19" s="16"/>
      <c r="D19" s="37"/>
      <c r="E19" s="37"/>
      <c r="F19" s="37"/>
      <c r="G19" s="37"/>
      <c r="H19" s="37"/>
      <c r="I19" s="15" t="str">
        <f t="shared" ref="I19:I20" si="4">IF(B19=1,CONCATENATE("=",$G$7,A19," "),CONCATENATE("~",$G$7,A19," "))</f>
        <v xml:space="preserve">~[moodle]Integration Test </v>
      </c>
      <c r="J19" s="38"/>
    </row>
    <row r="20" spans="1:10" ht="15" customHeight="1" x14ac:dyDescent="0.35">
      <c r="A20" s="11" t="s">
        <v>151</v>
      </c>
      <c r="B20" s="16">
        <v>0</v>
      </c>
      <c r="C20" s="17"/>
      <c r="D20" s="37"/>
      <c r="E20" s="37"/>
      <c r="F20" s="37"/>
      <c r="G20" s="37"/>
      <c r="H20" s="37"/>
      <c r="I20" s="15" t="str">
        <f t="shared" si="4"/>
        <v xml:space="preserve">~[moodle]Destructive Test </v>
      </c>
      <c r="J20" s="38"/>
    </row>
    <row r="21" spans="1:10" ht="15" customHeight="1" x14ac:dyDescent="0.35">
      <c r="A21" s="11" t="s">
        <v>152</v>
      </c>
      <c r="B21" s="16">
        <v>0</v>
      </c>
      <c r="C21" s="16"/>
      <c r="D21" s="37"/>
      <c r="E21" s="37"/>
      <c r="F21" s="37"/>
      <c r="G21" s="37"/>
      <c r="H21" s="37"/>
      <c r="I21" s="15" t="str">
        <f>IF(B21=1,CONCATENATE("=",$G$7,A21,"}"),CONCATENATE("~",$G$7,A21,"}"))</f>
        <v>~[moodle]Latency Test}</v>
      </c>
      <c r="J21" s="38"/>
    </row>
    <row r="22" spans="1:10" ht="14.5" x14ac:dyDescent="0.35">
      <c r="A22" s="11" t="s">
        <v>153</v>
      </c>
      <c r="B22" s="16"/>
      <c r="C22" s="16"/>
      <c r="D22" s="37" t="str">
        <f t="shared" ref="D22" si="5">CONCATENATE("::",$A$1,"_",$C$1,"_")</f>
        <v>::PRETEST_PRAKOM_</v>
      </c>
      <c r="E22" s="37" t="s">
        <v>4</v>
      </c>
      <c r="F22" s="37" t="s">
        <v>12</v>
      </c>
      <c r="G22" s="37" t="s">
        <v>13</v>
      </c>
      <c r="H22" s="37" t="s">
        <v>11</v>
      </c>
      <c r="I22" s="15" t="str">
        <f>CONCATENATE(D22,E22,F22,H22,A22," \:{")</f>
        <v>::PRETEST_PRAKOM_005::[html]Keseluruhan inisiatif TI yang terdiri dari visi, misi, tujuan, prinsip, dan taktik yang berkaitan dengan pemanfaatan TI dalam organisasi tertuang di dalam \:{</v>
      </c>
      <c r="J22" s="38" t="str">
        <f>CONCATENATE(I22,I23,I24,I25,I26)</f>
        <v>::PRETEST_PRAKOM_005::[html]Keseluruhan inisiatif TI yang terdiri dari visi, misi, tujuan, prinsip, dan taktik yang berkaitan dengan pemanfaatan TI dalam organisasi tertuang di dalam \:{~[moodle]Kebijakan TI =[moodle]Strategi TI ~[moodle]Tata Kelola TI ~[moodle]Roadmap TI}</v>
      </c>
    </row>
    <row r="23" spans="1:10" ht="15" customHeight="1" x14ac:dyDescent="0.35">
      <c r="A23" s="11" t="s">
        <v>154</v>
      </c>
      <c r="B23" s="16">
        <v>0</v>
      </c>
      <c r="C23" s="16"/>
      <c r="D23" s="37"/>
      <c r="E23" s="37"/>
      <c r="F23" s="37"/>
      <c r="G23" s="37"/>
      <c r="H23" s="37"/>
      <c r="I23" s="15" t="str">
        <f>IF(B23=1,CONCATENATE("=",$G$7,A23," "),CONCATENATE("~",$G$7,A23," "))</f>
        <v xml:space="preserve">~[moodle]Kebijakan TI </v>
      </c>
      <c r="J23" s="38"/>
    </row>
    <row r="24" spans="1:10" ht="14.5" x14ac:dyDescent="0.35">
      <c r="A24" s="12" t="s">
        <v>155</v>
      </c>
      <c r="B24" s="16">
        <v>1</v>
      </c>
      <c r="C24" s="17"/>
      <c r="D24" s="37"/>
      <c r="E24" s="37"/>
      <c r="F24" s="37"/>
      <c r="G24" s="37"/>
      <c r="H24" s="37"/>
      <c r="I24" s="15" t="str">
        <f>IF(B24=1,CONCATENATE("=",$G$7,A24," "),CONCATENATE("~",$G$7,A24," "))</f>
        <v xml:space="preserve">=[moodle]Strategi TI </v>
      </c>
      <c r="J24" s="38"/>
    </row>
    <row r="25" spans="1:10" ht="14.5" x14ac:dyDescent="0.35">
      <c r="A25" s="11" t="s">
        <v>156</v>
      </c>
      <c r="B25" s="16">
        <v>0</v>
      </c>
      <c r="C25" s="16"/>
      <c r="D25" s="37"/>
      <c r="E25" s="37"/>
      <c r="F25" s="37"/>
      <c r="G25" s="37"/>
      <c r="H25" s="37"/>
      <c r="I25" s="15" t="str">
        <f>IF(B25=1,CONCATENATE("=",$G$7,A25," "),CONCATENATE("~",$G$7,A25," "))</f>
        <v xml:space="preserve">~[moodle]Tata Kelola TI </v>
      </c>
      <c r="J25" s="38"/>
    </row>
    <row r="26" spans="1:10" ht="14.5" x14ac:dyDescent="0.35">
      <c r="A26" s="11" t="s">
        <v>157</v>
      </c>
      <c r="B26" s="16">
        <v>0</v>
      </c>
      <c r="C26" s="16"/>
      <c r="D26" s="37"/>
      <c r="E26" s="37"/>
      <c r="F26" s="37"/>
      <c r="G26" s="37"/>
      <c r="H26" s="37"/>
      <c r="I26" s="15" t="str">
        <f>IF(B26=1,CONCATENATE("=",$G$7,A26,"}"),CONCATENATE("~",$G$7,A26,"}"))</f>
        <v>~[moodle]Roadmap TI}</v>
      </c>
      <c r="J26" s="38"/>
    </row>
    <row r="27" spans="1:10" ht="15.5" x14ac:dyDescent="0.35">
      <c r="A27" s="9" t="s">
        <v>158</v>
      </c>
      <c r="B27" s="16"/>
      <c r="C27" s="16"/>
      <c r="D27" s="37" t="str">
        <f t="shared" ref="D27" si="6">CONCATENATE("::",$A$1,"_",$C$1,"_")</f>
        <v>::PRETEST_PRAKOM_</v>
      </c>
      <c r="E27" s="37" t="s">
        <v>5</v>
      </c>
      <c r="F27" s="37" t="s">
        <v>12</v>
      </c>
      <c r="G27" s="37" t="s">
        <v>13</v>
      </c>
      <c r="H27" s="37" t="s">
        <v>11</v>
      </c>
      <c r="I27" s="15" t="str">
        <f>CONCATENATE(D27,E27,F27,H27,A27," \:{")</f>
        <v>::PRETEST_PRAKOM_006::[html]Suatu strategi yang spesifik untuk melaksanakan suatu rencana TI yang telah disusun agar dapat berjalan dan diimplementasikan sesuai dengan target yang diinginkan dengan menggunakan sumber daya seefektif dan seefisien mungkin \:{</v>
      </c>
      <c r="J27" s="38" t="str">
        <f>CONCATENATE(I27,I28,I29,I30,I31)</f>
        <v>::PRETEST_PRAKOM_006::[html]Suatu strategi yang spesifik untuk melaksanakan suatu rencana TI yang telah disusun agar dapat berjalan dan diimplementasikan sesuai dengan target yang diinginkan dengan menggunakan sumber daya seefektif dan seefisien mungkin \:{~[moodle]Strategi TI ~[moodle]Strategi Layanan TI ~[moodle]Strategi Pembiayaan TI =[moodle]Strategi Operasional TI}</v>
      </c>
    </row>
    <row r="28" spans="1:10" ht="15.5" x14ac:dyDescent="0.35">
      <c r="A28" s="9" t="s">
        <v>155</v>
      </c>
      <c r="B28" s="16">
        <v>0</v>
      </c>
      <c r="C28" s="17"/>
      <c r="D28" s="37"/>
      <c r="E28" s="37"/>
      <c r="F28" s="37"/>
      <c r="G28" s="37"/>
      <c r="H28" s="37"/>
      <c r="I28" s="15" t="str">
        <f>IF(B28=1,CONCATENATE("=",$G$7,A28," "),CONCATENATE("~",$G$7,A28," "))</f>
        <v xml:space="preserve">~[moodle]Strategi TI </v>
      </c>
      <c r="J28" s="38"/>
    </row>
    <row r="29" spans="1:10" ht="15.5" x14ac:dyDescent="0.35">
      <c r="A29" s="9" t="s">
        <v>159</v>
      </c>
      <c r="B29" s="16">
        <v>0</v>
      </c>
      <c r="C29" s="16"/>
      <c r="D29" s="37"/>
      <c r="E29" s="37"/>
      <c r="F29" s="37"/>
      <c r="G29" s="37"/>
      <c r="H29" s="37"/>
      <c r="I29" s="15" t="str">
        <f t="shared" ref="I29" si="7">IF(B29=1,CONCATENATE("=",$G$7,A29," "),CONCATENATE("~",$G$7,A29," "))</f>
        <v xml:space="preserve">~[moodle]Strategi Layanan TI </v>
      </c>
      <c r="J29" s="38"/>
    </row>
    <row r="30" spans="1:10" ht="15.5" x14ac:dyDescent="0.35">
      <c r="A30" s="9" t="s">
        <v>160</v>
      </c>
      <c r="B30" s="16">
        <v>0</v>
      </c>
      <c r="C30" s="16"/>
      <c r="D30" s="37"/>
      <c r="E30" s="37"/>
      <c r="F30" s="37"/>
      <c r="G30" s="37"/>
      <c r="H30" s="37"/>
      <c r="I30" s="15" t="str">
        <f>IF(B30=1,CONCATENATE("=",$G$7,A30," "),CONCATENATE("~",$G$7,A30," "))</f>
        <v xml:space="preserve">~[moodle]Strategi Pembiayaan TI </v>
      </c>
      <c r="J30" s="38"/>
    </row>
    <row r="31" spans="1:10" ht="15.5" x14ac:dyDescent="0.35">
      <c r="A31" s="10" t="s">
        <v>161</v>
      </c>
      <c r="B31" s="16">
        <v>1</v>
      </c>
      <c r="C31" s="16"/>
      <c r="D31" s="37"/>
      <c r="E31" s="37"/>
      <c r="F31" s="37"/>
      <c r="G31" s="37"/>
      <c r="H31" s="37"/>
      <c r="I31" s="15" t="str">
        <f>IF(B31=1,CONCATENATE("=",$G$7,A31,"}"),CONCATENATE("~",$G$7,A31,"}"))</f>
        <v>=[moodle]Strategi Operasional TI}</v>
      </c>
      <c r="J31" s="38"/>
    </row>
    <row r="32" spans="1:10" ht="15.5" x14ac:dyDescent="0.35">
      <c r="A32" s="9" t="s">
        <v>162</v>
      </c>
      <c r="B32" s="16"/>
      <c r="C32" s="16"/>
      <c r="D32" s="37" t="str">
        <f t="shared" ref="D32" si="8">CONCATENATE("::",$A$1,"_",$C$1,"_")</f>
        <v>::PRETEST_PRAKOM_</v>
      </c>
      <c r="E32" s="37" t="s">
        <v>6</v>
      </c>
      <c r="F32" s="37" t="s">
        <v>12</v>
      </c>
      <c r="G32" s="37" t="s">
        <v>13</v>
      </c>
      <c r="H32" s="37" t="s">
        <v>11</v>
      </c>
      <c r="I32" s="15" t="str">
        <f>CONCATENATE(D32,E32,F32,H32,A32," \:{")</f>
        <v>::PRETEST_PRAKOM_007::[html]Berikut ini yang bukan manfaat yang bisa didapatkan dari pengembangan Enterprise Architecture adalah \:{</v>
      </c>
      <c r="J32" s="38" t="str">
        <f>CONCATENATE(I32,I33,I34,I35,I36)</f>
        <v>::PRETEST_PRAKOM_007::[html]Berikut ini yang bukan manfaat yang bisa didapatkan dari pengembangan Enterprise Architecture adalah \:{~[moodle]Mempunyai portofolio aplikasi dan teknologi yang dapat digunakan untuk pengelolaan TIK  ~[moodle]Dapat dijadikan dasar pengembangan manajemen risiko =[moodle]Mempunyai informasi kebutuhan pengguna untuk dasar pengembangan aplikasi  ~[moodle]Dasar perencanaan strategi dan pengambilan kebijakan}</v>
      </c>
    </row>
    <row r="33" spans="1:10" ht="15.5" x14ac:dyDescent="0.35">
      <c r="A33" s="9" t="s">
        <v>163</v>
      </c>
      <c r="B33" s="16">
        <v>0</v>
      </c>
      <c r="C33" s="17"/>
      <c r="D33" s="37"/>
      <c r="E33" s="37"/>
      <c r="F33" s="37"/>
      <c r="G33" s="37"/>
      <c r="H33" s="37"/>
      <c r="I33" s="15" t="str">
        <f>IF(B33=1,CONCATENATE("=",$G$7,A33," "),CONCATENATE("~",$G$7,A33," "))</f>
        <v xml:space="preserve">~[moodle]Mempunyai portofolio aplikasi dan teknologi yang dapat digunakan untuk pengelolaan TIK  </v>
      </c>
      <c r="J33" s="38"/>
    </row>
    <row r="34" spans="1:10" ht="15.5" x14ac:dyDescent="0.35">
      <c r="A34" s="9" t="s">
        <v>164</v>
      </c>
      <c r="B34" s="16">
        <v>0</v>
      </c>
      <c r="C34" s="16"/>
      <c r="D34" s="37"/>
      <c r="E34" s="37"/>
      <c r="F34" s="37"/>
      <c r="G34" s="37"/>
      <c r="H34" s="37"/>
      <c r="I34" s="15" t="str">
        <f t="shared" ref="I34:I35" si="9">IF(B34=1,CONCATENATE("=",$G$7,A34," "),CONCATENATE("~",$G$7,A34," "))</f>
        <v xml:space="preserve">~[moodle]Dapat dijadikan dasar pengembangan manajemen risiko </v>
      </c>
      <c r="J34" s="38"/>
    </row>
    <row r="35" spans="1:10" ht="15.5" x14ac:dyDescent="0.35">
      <c r="A35" s="10" t="s">
        <v>165</v>
      </c>
      <c r="B35" s="16">
        <v>1</v>
      </c>
      <c r="C35" s="16"/>
      <c r="D35" s="37"/>
      <c r="E35" s="37"/>
      <c r="F35" s="37"/>
      <c r="G35" s="37"/>
      <c r="H35" s="37"/>
      <c r="I35" s="15" t="str">
        <f t="shared" si="9"/>
        <v xml:space="preserve">=[moodle]Mempunyai informasi kebutuhan pengguna untuk dasar pengembangan aplikasi  </v>
      </c>
      <c r="J35" s="38"/>
    </row>
    <row r="36" spans="1:10" ht="14.5" x14ac:dyDescent="0.35">
      <c r="A36" s="19" t="s">
        <v>166</v>
      </c>
      <c r="B36" s="16">
        <v>0</v>
      </c>
      <c r="C36" s="16"/>
      <c r="D36" s="37"/>
      <c r="E36" s="37"/>
      <c r="F36" s="37"/>
      <c r="G36" s="37"/>
      <c r="H36" s="37"/>
      <c r="I36" s="15" t="str">
        <f>IF(B36=1,CONCATENATE("=",$G$7,A36,"}"),CONCATENATE("~",$G$7,A36,"}"))</f>
        <v>~[moodle]Dasar perencanaan strategi dan pengambilan kebijakan}</v>
      </c>
      <c r="J36" s="38"/>
    </row>
    <row r="37" spans="1:10" ht="15.5" x14ac:dyDescent="0.35">
      <c r="A37" s="9" t="s">
        <v>167</v>
      </c>
      <c r="B37" s="16"/>
      <c r="C37" s="16"/>
      <c r="D37" s="37" t="str">
        <f t="shared" ref="D37" si="10">CONCATENATE("::",$A$1,"_",$C$1,"_")</f>
        <v>::PRETEST_PRAKOM_</v>
      </c>
      <c r="E37" s="37" t="s">
        <v>7</v>
      </c>
      <c r="F37" s="37" t="s">
        <v>12</v>
      </c>
      <c r="G37" s="37" t="s">
        <v>13</v>
      </c>
      <c r="H37" s="37" t="s">
        <v>11</v>
      </c>
      <c r="I37" s="15" t="str">
        <f>CONCATENATE(D37,E37,F37,H37,A37," \:{")</f>
        <v>::PRETEST_PRAKOM_008::[html]Prinsip utama yang harus dipegang dalam penyusunan Strategi TI adalah \:{</v>
      </c>
      <c r="J37" s="38" t="str">
        <f>CONCATENATE(I37,I38,I39,I40,I41)</f>
        <v>::PRETEST_PRAKOM_008::[html]Prinsip utama yang harus dipegang dalam penyusunan Strategi TI adalah \:{=[moodle]Keselarasan strategi TI dengan strategi bisnis organisasi ~[moodle]Pemerataan program kegiatan TI organisasi ~[moodle]Benar Semua ~[moodle]Salah Semua}</v>
      </c>
    </row>
    <row r="38" spans="1:10" ht="15" customHeight="1" x14ac:dyDescent="0.35">
      <c r="A38" s="10" t="s">
        <v>168</v>
      </c>
      <c r="B38" s="16">
        <v>1</v>
      </c>
      <c r="C38" s="16"/>
      <c r="D38" s="37"/>
      <c r="E38" s="37"/>
      <c r="F38" s="37"/>
      <c r="G38" s="37"/>
      <c r="H38" s="37"/>
      <c r="I38" s="15" t="str">
        <f>IF(B38=1,CONCATENATE("=",$G$7,A38," "),CONCATENATE("~",$G$7,A38," "))</f>
        <v xml:space="preserve">=[moodle]Keselarasan strategi TI dengan strategi bisnis organisasi </v>
      </c>
      <c r="J38" s="38"/>
    </row>
    <row r="39" spans="1:10" ht="15" customHeight="1" x14ac:dyDescent="0.35">
      <c r="A39" s="9" t="s">
        <v>169</v>
      </c>
      <c r="B39" s="16">
        <v>0</v>
      </c>
      <c r="C39" s="16"/>
      <c r="D39" s="37"/>
      <c r="E39" s="37"/>
      <c r="F39" s="37"/>
      <c r="G39" s="37"/>
      <c r="H39" s="37"/>
      <c r="I39" s="15" t="str">
        <f t="shared" ref="I39:I40" si="11">IF(B39=1,CONCATENATE("=",$G$7,A39," "),CONCATENATE("~",$G$7,A39," "))</f>
        <v xml:space="preserve">~[moodle]Pemerataan program kegiatan TI organisasi </v>
      </c>
      <c r="J39" s="38"/>
    </row>
    <row r="40" spans="1:10" ht="15.5" x14ac:dyDescent="0.35">
      <c r="A40" s="9" t="s">
        <v>170</v>
      </c>
      <c r="B40" s="16">
        <v>0</v>
      </c>
      <c r="C40" s="16"/>
      <c r="D40" s="37"/>
      <c r="E40" s="37"/>
      <c r="F40" s="37"/>
      <c r="G40" s="37"/>
      <c r="H40" s="37"/>
      <c r="I40" s="15" t="str">
        <f t="shared" si="11"/>
        <v xml:space="preserve">~[moodle]Benar Semua </v>
      </c>
      <c r="J40" s="38"/>
    </row>
    <row r="41" spans="1:10" ht="15.5" x14ac:dyDescent="0.35">
      <c r="A41" s="9" t="s">
        <v>171</v>
      </c>
      <c r="B41" s="16">
        <v>0</v>
      </c>
      <c r="C41" s="17"/>
      <c r="D41" s="37"/>
      <c r="E41" s="37"/>
      <c r="F41" s="37"/>
      <c r="G41" s="37"/>
      <c r="H41" s="37"/>
      <c r="I41" s="15" t="str">
        <f>IF(B41=1,CONCATENATE("=",$G$7,A41,"}"),CONCATENATE("~",$G$7,A41,"}"))</f>
        <v>~[moodle]Salah Semua}</v>
      </c>
      <c r="J41" s="38"/>
    </row>
    <row r="42" spans="1:10" ht="15.5" x14ac:dyDescent="0.35">
      <c r="A42" s="9" t="s">
        <v>172</v>
      </c>
      <c r="B42" s="16"/>
      <c r="C42" s="16"/>
      <c r="D42" s="37" t="str">
        <f t="shared" ref="D42" si="12">CONCATENATE("::",$A$1,"_",$C$1,"_")</f>
        <v>::PRETEST_PRAKOM_</v>
      </c>
      <c r="E42" s="37" t="s">
        <v>8</v>
      </c>
      <c r="F42" s="37" t="s">
        <v>12</v>
      </c>
      <c r="G42" s="37" t="s">
        <v>13</v>
      </c>
      <c r="H42" s="37" t="s">
        <v>11</v>
      </c>
      <c r="I42" s="15" t="str">
        <f>CONCATENATE(D42,E42,F42,H42,A42," \:{")</f>
        <v>::PRETEST_PRAKOM_009::[html]Model yang digunakan untuk mengukur tingkat kematangan keselarasan bisnis dan TI adalah \:{</v>
      </c>
      <c r="J42" s="38" t="str">
        <f>CONCATENATE(I42,I43,I44,I45,I46)</f>
        <v>::PRETEST_PRAKOM_009::[html]Model yang digunakan untuk mengukur tingkat kematangan keselarasan bisnis dan TI adalah \:{=[moodle]Strategic Alignment Maturity Model (SAMM) ~[moodle]Technology Acceptance Model (TAM) ~[moodle]Architecture Development Method (ADM) ~[moodle]Capability Maturity Model Integration (CMMI)}</v>
      </c>
    </row>
    <row r="43" spans="1:10" ht="15" customHeight="1" x14ac:dyDescent="0.35">
      <c r="A43" s="10" t="s">
        <v>173</v>
      </c>
      <c r="B43" s="16">
        <v>1</v>
      </c>
      <c r="C43" s="16"/>
      <c r="D43" s="37"/>
      <c r="E43" s="37"/>
      <c r="F43" s="37"/>
      <c r="G43" s="37"/>
      <c r="H43" s="37"/>
      <c r="I43" s="15" t="str">
        <f>IF(B43=1,CONCATENATE("=",$G$7,A43," "),CONCATENATE("~",$G$7,A43," "))</f>
        <v xml:space="preserve">=[moodle]Strategic Alignment Maturity Model (SAMM) </v>
      </c>
      <c r="J43" s="38"/>
    </row>
    <row r="44" spans="1:10" ht="15" customHeight="1" x14ac:dyDescent="0.35">
      <c r="A44" s="9" t="s">
        <v>174</v>
      </c>
      <c r="B44" s="16">
        <v>0</v>
      </c>
      <c r="C44" s="16"/>
      <c r="D44" s="37"/>
      <c r="E44" s="37"/>
      <c r="F44" s="37"/>
      <c r="G44" s="37"/>
      <c r="H44" s="37"/>
      <c r="I44" s="15" t="str">
        <f t="shared" ref="I44:I45" si="13">IF(B44=1,CONCATENATE("=",$G$7,A44," "),CONCATENATE("~",$G$7,A44," "))</f>
        <v xml:space="preserve">~[moodle]Technology Acceptance Model (TAM) </v>
      </c>
      <c r="J44" s="38"/>
    </row>
    <row r="45" spans="1:10" ht="15" customHeight="1" x14ac:dyDescent="0.35">
      <c r="A45" s="9" t="s">
        <v>175</v>
      </c>
      <c r="B45" s="16">
        <v>0</v>
      </c>
      <c r="C45" s="16"/>
      <c r="D45" s="37"/>
      <c r="E45" s="37"/>
      <c r="F45" s="37"/>
      <c r="G45" s="37"/>
      <c r="H45" s="37"/>
      <c r="I45" s="15" t="str">
        <f t="shared" si="13"/>
        <v xml:space="preserve">~[moodle]Architecture Development Method (ADM) </v>
      </c>
      <c r="J45" s="38"/>
    </row>
    <row r="46" spans="1:10" ht="15.5" x14ac:dyDescent="0.35">
      <c r="A46" s="9" t="s">
        <v>176</v>
      </c>
      <c r="B46" s="16">
        <v>0</v>
      </c>
      <c r="C46" s="17"/>
      <c r="D46" s="37"/>
      <c r="E46" s="37"/>
      <c r="F46" s="37"/>
      <c r="G46" s="37"/>
      <c r="H46" s="37"/>
      <c r="I46" s="15" t="str">
        <f>IF(B46=1,CONCATENATE("=",$G$7,A46,"}"),CONCATENATE("~",$G$7,A46,"}"))</f>
        <v>~[moodle]Capability Maturity Model Integration (CMMI)}</v>
      </c>
      <c r="J46" s="38"/>
    </row>
    <row r="47" spans="1:10" ht="15.5" x14ac:dyDescent="0.35">
      <c r="A47" s="9" t="s">
        <v>177</v>
      </c>
      <c r="B47" s="16"/>
      <c r="C47" s="16"/>
      <c r="D47" s="37" t="str">
        <f t="shared" ref="D47" si="14">CONCATENATE("::",$A$1,"_",$C$1,"_")</f>
        <v>::PRETEST_PRAKOM_</v>
      </c>
      <c r="E47" s="37" t="s">
        <v>9</v>
      </c>
      <c r="F47" s="37" t="s">
        <v>12</v>
      </c>
      <c r="G47" s="37" t="s">
        <v>13</v>
      </c>
      <c r="H47" s="37" t="s">
        <v>11</v>
      </c>
      <c r="I47" s="15" t="str">
        <f>CONCATENATE(D47,E47,F47,H47,A47," \:{")</f>
        <v>::PRETEST_PRAKOM_010::[html]Apakah yang dimaksud dengan spesifikasi teknis?  \:{</v>
      </c>
      <c r="J47" s="38" t="str">
        <f>CONCATENATE(I47,I48,I49,I50,I51)</f>
        <v>::PRETEST_PRAKOM_010::[html]Apakah yang dimaksud dengan spesifikasi teknis?  \:{~[moodle]syarat-syarat barang/jasa yang sedang popular ~[moodle]ketentuan tenknis barang yang dijual di pasaran ~[moodle]rincian fitur barang/jasa yang ditawarkan =[moodle]Deskripsi harga menurut jenis barang/jasa}</v>
      </c>
    </row>
    <row r="48" spans="1:10" ht="15.5" x14ac:dyDescent="0.35">
      <c r="A48" s="9" t="s">
        <v>178</v>
      </c>
      <c r="B48" s="16">
        <v>0</v>
      </c>
      <c r="C48" s="16"/>
      <c r="D48" s="37"/>
      <c r="E48" s="37"/>
      <c r="F48" s="37"/>
      <c r="G48" s="37"/>
      <c r="H48" s="37"/>
      <c r="I48" s="15" t="str">
        <f>IF(B48=1,CONCATENATE("=",$G$7,A48," "),CONCATENATE("~",$G$7,A48," "))</f>
        <v xml:space="preserve">~[moodle]syarat-syarat barang/jasa yang sedang popular </v>
      </c>
      <c r="J48" s="38"/>
    </row>
    <row r="49" spans="1:10" ht="15" customHeight="1" x14ac:dyDescent="0.35">
      <c r="A49" s="9" t="s">
        <v>179</v>
      </c>
      <c r="B49" s="16">
        <v>0</v>
      </c>
      <c r="C49" s="17"/>
      <c r="D49" s="37"/>
      <c r="E49" s="37"/>
      <c r="F49" s="37"/>
      <c r="G49" s="37"/>
      <c r="H49" s="37"/>
      <c r="I49" s="15" t="str">
        <f t="shared" ref="I49:I50" si="15">IF(B49=1,CONCATENATE("=",$G$7,A49," "),CONCATENATE("~",$G$7,A49," "))</f>
        <v xml:space="preserve">~[moodle]ketentuan tenknis barang yang dijual di pasaran </v>
      </c>
      <c r="J49" s="38"/>
    </row>
    <row r="50" spans="1:10" ht="15" customHeight="1" x14ac:dyDescent="0.35">
      <c r="A50" s="9" t="s">
        <v>180</v>
      </c>
      <c r="B50" s="16">
        <v>0</v>
      </c>
      <c r="C50" s="16"/>
      <c r="D50" s="37"/>
      <c r="E50" s="37"/>
      <c r="F50" s="37"/>
      <c r="G50" s="37"/>
      <c r="H50" s="37"/>
      <c r="I50" s="15" t="str">
        <f t="shared" si="15"/>
        <v xml:space="preserve">~[moodle]rincian fitur barang/jasa yang ditawarkan </v>
      </c>
      <c r="J50" s="38"/>
    </row>
    <row r="51" spans="1:10" ht="15" customHeight="1" x14ac:dyDescent="0.35">
      <c r="A51" s="20" t="s">
        <v>181</v>
      </c>
      <c r="B51" s="16">
        <v>1</v>
      </c>
      <c r="C51" s="16"/>
      <c r="D51" s="37"/>
      <c r="E51" s="37"/>
      <c r="F51" s="37"/>
      <c r="G51" s="37"/>
      <c r="H51" s="37"/>
      <c r="I51" s="15" t="str">
        <f>IF(B51=1,CONCATENATE("=",$G$7,A51,"}"),CONCATENATE("~",$G$7,A51,"}"))</f>
        <v>=[moodle]Deskripsi harga menurut jenis barang/jasa}</v>
      </c>
      <c r="J51" s="38"/>
    </row>
    <row r="52" spans="1:10" ht="15" customHeight="1" x14ac:dyDescent="0.35">
      <c r="A52" s="9" t="s">
        <v>184</v>
      </c>
      <c r="B52" s="16"/>
      <c r="C52" s="18"/>
      <c r="D52" s="37" t="str">
        <f t="shared" ref="D52" si="16">CONCATENATE("::",$A$1,"_",$C$1,"_")</f>
        <v>::PRETEST_PRAKOM_</v>
      </c>
      <c r="E52" s="37" t="s">
        <v>182</v>
      </c>
      <c r="F52" s="37" t="s">
        <v>12</v>
      </c>
      <c r="G52" s="37" t="s">
        <v>13</v>
      </c>
      <c r="H52" s="37" t="s">
        <v>11</v>
      </c>
      <c r="I52" s="15" t="str">
        <f>CONCATENATE(D52,E52,F52,H52,A52," \:{")</f>
        <v>::PRETEST_PRAKOM_011::[html]Untuk dapat melakukan komunikasi menggunakan VOIP dibutuhkan beberapa komponen pendukung. Ada beberapa komponen pendukung yang harus ada dalam VOIP salah satunya adalah \:{</v>
      </c>
      <c r="J52" s="38" t="str">
        <f t="shared" ref="J52" si="17">CONCATENATE(I52,I53,I54,I55,I56)</f>
        <v>::PRETEST_PRAKOM_011::[html]Untuk dapat melakukan komunikasi menggunakan VOIP dibutuhkan beberapa komponen pendukung. Ada beberapa komponen pendukung yang harus ada dalam VOIP salah satunya adalah \:{~[moodle]Sender =[moodle]Protocol ~[moodle]Data ~[moodle]Server}</v>
      </c>
    </row>
    <row r="53" spans="1:10" ht="15" customHeight="1" x14ac:dyDescent="0.35">
      <c r="A53" s="9" t="s">
        <v>185</v>
      </c>
      <c r="B53" s="16">
        <v>0</v>
      </c>
      <c r="C53" s="14"/>
      <c r="D53" s="37"/>
      <c r="E53" s="37"/>
      <c r="F53" s="37"/>
      <c r="G53" s="37"/>
      <c r="H53" s="37"/>
      <c r="I53" s="15" t="str">
        <f>IF(B53=1,CONCATENATE("=",$G$7,A53," "),CONCATENATE("~",$G$7,A53," "))</f>
        <v xml:space="preserve">~[moodle]Sender </v>
      </c>
      <c r="J53" s="38"/>
    </row>
    <row r="54" spans="1:10" ht="15" customHeight="1" x14ac:dyDescent="0.35">
      <c r="A54" s="10" t="s">
        <v>186</v>
      </c>
      <c r="B54" s="16">
        <v>1</v>
      </c>
      <c r="C54" s="14"/>
      <c r="D54" s="37"/>
      <c r="E54" s="37"/>
      <c r="F54" s="37"/>
      <c r="G54" s="37"/>
      <c r="H54" s="37"/>
      <c r="I54" s="15" t="str">
        <f t="shared" ref="I54:I55" si="18">IF(B54=1,CONCATENATE("=",$G$7,A54," "),CONCATENATE("~",$G$7,A54," "))</f>
        <v xml:space="preserve">=[moodle]Protocol </v>
      </c>
      <c r="J54" s="38"/>
    </row>
    <row r="55" spans="1:10" ht="15" customHeight="1" x14ac:dyDescent="0.35">
      <c r="A55" s="9" t="s">
        <v>187</v>
      </c>
      <c r="B55" s="16">
        <v>0</v>
      </c>
      <c r="C55" s="14"/>
      <c r="D55" s="37"/>
      <c r="E55" s="37"/>
      <c r="F55" s="37"/>
      <c r="G55" s="37"/>
      <c r="H55" s="37"/>
      <c r="I55" s="15" t="str">
        <f t="shared" si="18"/>
        <v xml:space="preserve">~[moodle]Data </v>
      </c>
      <c r="J55" s="38"/>
    </row>
    <row r="56" spans="1:10" ht="15" customHeight="1" x14ac:dyDescent="0.35">
      <c r="A56" s="9" t="s">
        <v>188</v>
      </c>
      <c r="B56" s="16">
        <v>0</v>
      </c>
      <c r="C56" s="14"/>
      <c r="D56" s="37"/>
      <c r="E56" s="37"/>
      <c r="F56" s="37"/>
      <c r="G56" s="37"/>
      <c r="H56" s="37"/>
      <c r="I56" s="15" t="str">
        <f>IF(B56=1,CONCATENATE("=",$G$7,A56,"}"),CONCATENATE("~",$G$7,A56,"}"))</f>
        <v>~[moodle]Server}</v>
      </c>
      <c r="J56" s="38"/>
    </row>
    <row r="57" spans="1:10" ht="15" customHeight="1" x14ac:dyDescent="0.35">
      <c r="A57" s="9" t="s">
        <v>194</v>
      </c>
      <c r="B57" s="16"/>
      <c r="C57" s="18"/>
      <c r="D57" s="37" t="str">
        <f t="shared" ref="D57" si="19">CONCATENATE("::",$A$1,"_",$C$1,"_")</f>
        <v>::PRETEST_PRAKOM_</v>
      </c>
      <c r="E57" s="37" t="s">
        <v>183</v>
      </c>
      <c r="F57" s="37" t="s">
        <v>12</v>
      </c>
      <c r="G57" s="37" t="s">
        <v>13</v>
      </c>
      <c r="H57" s="37" t="s">
        <v>11</v>
      </c>
      <c r="I57" s="15" t="str">
        <f>CONCATENATE(D57,E57,F57,H57,A57," \:{")</f>
        <v>::PRETEST_PRAKOM_012::[html]Bekerja menggunakan algoritma tertentu untuk membantu dalam memecah, mengurutkan, mengkompresi, dan merakit ulang audio data yang ditransmisikan adalah  \:{</v>
      </c>
      <c r="J57" s="38" t="str">
        <f t="shared" ref="J57" si="20">CONCATENATE(I57,I58,I59,I60,I61)</f>
        <v>::PRETEST_PRAKOM_012::[html]Bekerja menggunakan algoritma tertentu untuk membantu dalam memecah, mengurutkan, mengkompresi, dan merakit ulang audio data yang ditransmisikan adalah  \:{~[moodle]Softphone ~[moodle]VoIP server =[moodle]Proses codec ~[moodle]Proses codec}</v>
      </c>
    </row>
    <row r="58" spans="1:10" ht="15" customHeight="1" x14ac:dyDescent="0.35">
      <c r="A58" s="9" t="s">
        <v>195</v>
      </c>
      <c r="B58" s="16">
        <v>0</v>
      </c>
      <c r="C58" s="14"/>
      <c r="D58" s="37"/>
      <c r="E58" s="37"/>
      <c r="F58" s="37"/>
      <c r="G58" s="37"/>
      <c r="H58" s="37"/>
      <c r="I58" s="15" t="str">
        <f>IF(B58=1,CONCATENATE("=",$G$7,A58," "),CONCATENATE("~",$G$7,A58," "))</f>
        <v xml:space="preserve">~[moodle]Softphone </v>
      </c>
      <c r="J58" s="38"/>
    </row>
    <row r="59" spans="1:10" ht="15" customHeight="1" x14ac:dyDescent="0.35">
      <c r="A59" s="9" t="s">
        <v>196</v>
      </c>
      <c r="B59" s="16">
        <v>0</v>
      </c>
      <c r="C59" s="14"/>
      <c r="D59" s="37"/>
      <c r="E59" s="37"/>
      <c r="F59" s="37"/>
      <c r="G59" s="37"/>
      <c r="H59" s="37"/>
      <c r="I59" s="15" t="str">
        <f t="shared" ref="I59:I60" si="21">IF(B59=1,CONCATENATE("=",$G$7,A59," "),CONCATENATE("~",$G$7,A59," "))</f>
        <v xml:space="preserve">~[moodle]VoIP server </v>
      </c>
      <c r="J59" s="38"/>
    </row>
    <row r="60" spans="1:10" ht="15" customHeight="1" x14ac:dyDescent="0.35">
      <c r="A60" s="10" t="s">
        <v>197</v>
      </c>
      <c r="B60" s="16">
        <v>1</v>
      </c>
      <c r="C60" s="14"/>
      <c r="D60" s="37"/>
      <c r="E60" s="37"/>
      <c r="F60" s="37"/>
      <c r="G60" s="37"/>
      <c r="H60" s="37"/>
      <c r="I60" s="15" t="str">
        <f t="shared" si="21"/>
        <v xml:space="preserve">=[moodle]Proses codec </v>
      </c>
      <c r="J60" s="38"/>
    </row>
    <row r="61" spans="1:10" ht="15" customHeight="1" x14ac:dyDescent="0.35">
      <c r="A61" s="9" t="s">
        <v>197</v>
      </c>
      <c r="B61" s="16">
        <v>0</v>
      </c>
      <c r="C61" s="14"/>
      <c r="D61" s="37"/>
      <c r="E61" s="37"/>
      <c r="F61" s="37"/>
      <c r="G61" s="37"/>
      <c r="H61" s="37"/>
      <c r="I61" s="15" t="str">
        <f>IF(B61=1,CONCATENATE("=",$G$7,A61,"}"),CONCATENATE("~",$G$7,A61,"}"))</f>
        <v>~[moodle]Proses codec}</v>
      </c>
      <c r="J61" s="38"/>
    </row>
    <row r="62" spans="1:10" ht="15" customHeight="1" x14ac:dyDescent="0.35">
      <c r="A62" s="9" t="s">
        <v>198</v>
      </c>
      <c r="B62" s="16"/>
      <c r="C62" s="18"/>
      <c r="D62" s="37" t="str">
        <f t="shared" ref="D62" si="22">CONCATENATE("::",$A$1,"_",$C$1,"_")</f>
        <v>::PRETEST_PRAKOM_</v>
      </c>
      <c r="E62" s="37" t="s">
        <v>189</v>
      </c>
      <c r="F62" s="37" t="s">
        <v>12</v>
      </c>
      <c r="G62" s="37" t="s">
        <v>13</v>
      </c>
      <c r="H62" s="37" t="s">
        <v>11</v>
      </c>
      <c r="I62" s="15" t="str">
        <f>CONCATENATE(D62,E62,F62,H62,A62," \:{")</f>
        <v>::PRETEST_PRAKOM_013::[html]Sebelum tahap penyerahan, infrastruktur TI hasil pengadaan harus diperiksa kesesuaiannya dengan \:{</v>
      </c>
      <c r="J62" s="38" t="str">
        <f t="shared" ref="J62" si="23">CONCATENATE(I62,I63,I64,I65,I66)</f>
        <v>::PRETEST_PRAKOM_013::[html]Sebelum tahap penyerahan, infrastruktur TI hasil pengadaan harus diperiksa kesesuaiannya dengan \:{=[moodle]Spesifikasi teknis ~[moodle]Brosur ~[moodle]Penawaran harga ~[moodle]spesifikasi pengguna}</v>
      </c>
    </row>
    <row r="63" spans="1:10" ht="15" customHeight="1" x14ac:dyDescent="0.35">
      <c r="A63" s="10" t="s">
        <v>199</v>
      </c>
      <c r="B63" s="16">
        <v>1</v>
      </c>
      <c r="C63" s="14"/>
      <c r="D63" s="37"/>
      <c r="E63" s="37"/>
      <c r="F63" s="37"/>
      <c r="G63" s="37"/>
      <c r="H63" s="37"/>
      <c r="I63" s="15" t="str">
        <f>IF(B63=1,CONCATENATE("=",$G$7,A63," "),CONCATENATE("~",$G$7,A63," "))</f>
        <v xml:space="preserve">=[moodle]Spesifikasi teknis </v>
      </c>
      <c r="J63" s="38"/>
    </row>
    <row r="64" spans="1:10" ht="15" customHeight="1" x14ac:dyDescent="0.35">
      <c r="A64" s="9" t="s">
        <v>200</v>
      </c>
      <c r="B64" s="16">
        <v>0</v>
      </c>
      <c r="C64" s="14"/>
      <c r="D64" s="37"/>
      <c r="E64" s="37"/>
      <c r="F64" s="37"/>
      <c r="G64" s="37"/>
      <c r="H64" s="37"/>
      <c r="I64" s="15" t="str">
        <f t="shared" ref="I64:I65" si="24">IF(B64=1,CONCATENATE("=",$G$7,A64," "),CONCATENATE("~",$G$7,A64," "))</f>
        <v xml:space="preserve">~[moodle]Brosur </v>
      </c>
      <c r="J64" s="38"/>
    </row>
    <row r="65" spans="1:10" ht="15" customHeight="1" x14ac:dyDescent="0.35">
      <c r="A65" s="9" t="s">
        <v>201</v>
      </c>
      <c r="B65" s="16">
        <v>0</v>
      </c>
      <c r="C65" s="14"/>
      <c r="D65" s="37"/>
      <c r="E65" s="37"/>
      <c r="F65" s="37"/>
      <c r="G65" s="37"/>
      <c r="H65" s="37"/>
      <c r="I65" s="15" t="str">
        <f t="shared" si="24"/>
        <v xml:space="preserve">~[moodle]Penawaran harga </v>
      </c>
      <c r="J65" s="38"/>
    </row>
    <row r="66" spans="1:10" ht="15" customHeight="1" x14ac:dyDescent="0.35">
      <c r="A66" s="9" t="s">
        <v>202</v>
      </c>
      <c r="B66" s="16">
        <v>0</v>
      </c>
      <c r="C66" s="14"/>
      <c r="D66" s="37"/>
      <c r="E66" s="37"/>
      <c r="F66" s="37"/>
      <c r="G66" s="37"/>
      <c r="H66" s="37"/>
      <c r="I66" s="15" t="str">
        <f>IF(B66=1,CONCATENATE("=",$G$7,A66,"}"),CONCATENATE("~",$G$7,A66,"}"))</f>
        <v>~[moodle]spesifikasi pengguna}</v>
      </c>
      <c r="J66" s="38"/>
    </row>
    <row r="67" spans="1:10" ht="15" customHeight="1" x14ac:dyDescent="0.35">
      <c r="A67" s="7" t="s">
        <v>203</v>
      </c>
      <c r="B67" s="16"/>
      <c r="C67" s="18"/>
      <c r="D67" s="37" t="str">
        <f t="shared" ref="D67" si="25">CONCATENATE("::",$A$1,"_",$C$1,"_")</f>
        <v>::PRETEST_PRAKOM_</v>
      </c>
      <c r="E67" s="37" t="s">
        <v>190</v>
      </c>
      <c r="F67" s="37" t="s">
        <v>12</v>
      </c>
      <c r="G67" s="37" t="s">
        <v>13</v>
      </c>
      <c r="H67" s="37" t="s">
        <v>11</v>
      </c>
      <c r="I67" s="15" t="str">
        <f>CONCATENATE(D67,E67,F67,H67,A67," \:{")</f>
        <v>::PRETEST_PRAKOM_014::[html]Sebutkan proses-proses yang di cakup service strategy pada ITIL! \:{</v>
      </c>
      <c r="J67" s="38" t="str">
        <f t="shared" ref="J67" si="26">CONCATENATE(I67,I68,I69,I70,I71)</f>
        <v>::PRETEST_PRAKOM_014::[html]Sebutkan proses-proses yang di cakup service strategy pada ITIL! \:{=[moodle]Service Portfolio Management, Financial Management, Demand Management ~[moodle]Service Level Management, Supplier Management, CApacity Management ~[moodle]Availibility Management, IT Service Continuity Management, Capacity Management ~[moodle]Information Security Management}</v>
      </c>
    </row>
    <row r="68" spans="1:10" ht="15" customHeight="1" x14ac:dyDescent="0.35">
      <c r="A68" s="6" t="s">
        <v>204</v>
      </c>
      <c r="B68" s="16">
        <v>1</v>
      </c>
      <c r="C68" s="14"/>
      <c r="D68" s="37"/>
      <c r="E68" s="37"/>
      <c r="F68" s="37"/>
      <c r="G68" s="37"/>
      <c r="H68" s="37"/>
      <c r="I68" s="15" t="str">
        <f>IF(B68=1,CONCATENATE("=",$G$7,A68," "),CONCATENATE("~",$G$7,A68," "))</f>
        <v xml:space="preserve">=[moodle]Service Portfolio Management, Financial Management, Demand Management </v>
      </c>
      <c r="J68" s="38"/>
    </row>
    <row r="69" spans="1:10" ht="15" customHeight="1" x14ac:dyDescent="0.35">
      <c r="A69" s="7" t="s">
        <v>205</v>
      </c>
      <c r="B69" s="16">
        <v>0</v>
      </c>
      <c r="C69" s="14"/>
      <c r="D69" s="37"/>
      <c r="E69" s="37"/>
      <c r="F69" s="37"/>
      <c r="G69" s="37"/>
      <c r="H69" s="37"/>
      <c r="I69" s="15" t="str">
        <f t="shared" ref="I69:I70" si="27">IF(B69=1,CONCATENATE("=",$G$7,A69," "),CONCATENATE("~",$G$7,A69," "))</f>
        <v xml:space="preserve">~[moodle]Service Level Management, Supplier Management, CApacity Management </v>
      </c>
      <c r="J69" s="38"/>
    </row>
    <row r="70" spans="1:10" ht="15" customHeight="1" x14ac:dyDescent="0.35">
      <c r="A70" s="7" t="s">
        <v>206</v>
      </c>
      <c r="B70" s="16">
        <v>0</v>
      </c>
      <c r="C70" s="14"/>
      <c r="D70" s="37"/>
      <c r="E70" s="37"/>
      <c r="F70" s="37"/>
      <c r="G70" s="37"/>
      <c r="H70" s="37"/>
      <c r="I70" s="15" t="str">
        <f t="shared" si="27"/>
        <v xml:space="preserve">~[moodle]Availibility Management, IT Service Continuity Management, Capacity Management </v>
      </c>
      <c r="J70" s="38"/>
    </row>
    <row r="71" spans="1:10" ht="15" customHeight="1" x14ac:dyDescent="0.35">
      <c r="A71" s="19" t="s">
        <v>207</v>
      </c>
      <c r="B71" s="16">
        <v>0</v>
      </c>
      <c r="C71" s="14"/>
      <c r="D71" s="37"/>
      <c r="E71" s="37"/>
      <c r="F71" s="37"/>
      <c r="G71" s="37"/>
      <c r="H71" s="37"/>
      <c r="I71" s="15" t="str">
        <f>IF(B71=1,CONCATENATE("=",$G$7,A71,"}"),CONCATENATE("~",$G$7,A71,"}"))</f>
        <v>~[moodle]Information Security Management}</v>
      </c>
      <c r="J71" s="38"/>
    </row>
    <row r="72" spans="1:10" ht="15" customHeight="1" x14ac:dyDescent="0.35">
      <c r="A72" s="11" t="s">
        <v>208</v>
      </c>
      <c r="B72" s="16"/>
      <c r="C72" s="18"/>
      <c r="D72" s="37" t="str">
        <f t="shared" ref="D72" si="28">CONCATENATE("::",$A$1,"_",$C$1,"_")</f>
        <v>::PRETEST_PRAKOM_</v>
      </c>
      <c r="E72" s="37" t="s">
        <v>191</v>
      </c>
      <c r="F72" s="37" t="s">
        <v>12</v>
      </c>
      <c r="G72" s="37" t="s">
        <v>13</v>
      </c>
      <c r="H72" s="37" t="s">
        <v>11</v>
      </c>
      <c r="I72" s="15" t="str">
        <f>CONCATENATE(D72,E72,F72,H72,A72," \:{")</f>
        <v>::PRETEST_PRAKOM_015::[html]Fokus pada service desk merupakan bagian dari service mangement dan ini juga dipersyaratkan di dalam pengelolaan ISO           ITSM. \:{</v>
      </c>
      <c r="J72" s="38" t="str">
        <f t="shared" ref="J72" si="29">CONCATENATE(I72,I73,I74,I75,I76)</f>
        <v>::PRETEST_PRAKOM_015::[html]Fokus pada service desk merupakan bagian dari service mangement dan ini juga dipersyaratkan di dalam pengelolaan ISO           ITSM. \:{~[moodle]2000 =[moodle]20000  ~[moodle]5000 ~[moodle]50000}</v>
      </c>
    </row>
    <row r="73" spans="1:10" ht="15" customHeight="1" x14ac:dyDescent="0.35">
      <c r="A73" s="21">
        <v>2000</v>
      </c>
      <c r="B73" s="16">
        <v>0</v>
      </c>
      <c r="C73" s="14"/>
      <c r="D73" s="37"/>
      <c r="E73" s="37"/>
      <c r="F73" s="37"/>
      <c r="G73" s="37"/>
      <c r="H73" s="37"/>
      <c r="I73" s="15" t="str">
        <f>IF(B73=1,CONCATENATE("=",$G$7,A73," "),CONCATENATE("~",$G$7,A73," "))</f>
        <v xml:space="preserve">~[moodle]2000 </v>
      </c>
      <c r="J73" s="38"/>
    </row>
    <row r="74" spans="1:10" ht="15" customHeight="1" x14ac:dyDescent="0.35">
      <c r="A74" s="22" t="s">
        <v>209</v>
      </c>
      <c r="B74" s="16">
        <v>1</v>
      </c>
      <c r="C74" s="14"/>
      <c r="D74" s="37"/>
      <c r="E74" s="37"/>
      <c r="F74" s="37"/>
      <c r="G74" s="37"/>
      <c r="H74" s="37"/>
      <c r="I74" s="15" t="str">
        <f t="shared" ref="I74:I75" si="30">IF(B74=1,CONCATENATE("=",$G$7,A74," "),CONCATENATE("~",$G$7,A74," "))</f>
        <v xml:space="preserve">=[moodle]20000  </v>
      </c>
      <c r="J74" s="38"/>
    </row>
    <row r="75" spans="1:10" ht="15" customHeight="1" x14ac:dyDescent="0.35">
      <c r="A75" s="21">
        <v>5000</v>
      </c>
      <c r="B75" s="16">
        <v>0</v>
      </c>
      <c r="C75" s="14"/>
      <c r="D75" s="37"/>
      <c r="E75" s="37"/>
      <c r="F75" s="37"/>
      <c r="G75" s="37"/>
      <c r="H75" s="37"/>
      <c r="I75" s="15" t="str">
        <f t="shared" si="30"/>
        <v xml:space="preserve">~[moodle]5000 </v>
      </c>
      <c r="J75" s="38"/>
    </row>
    <row r="76" spans="1:10" ht="15" customHeight="1" x14ac:dyDescent="0.35">
      <c r="A76" s="21">
        <v>50000</v>
      </c>
      <c r="B76" s="16">
        <v>0</v>
      </c>
      <c r="C76" s="14"/>
      <c r="D76" s="37"/>
      <c r="E76" s="37"/>
      <c r="F76" s="37"/>
      <c r="G76" s="37"/>
      <c r="H76" s="37"/>
      <c r="I76" s="15" t="str">
        <f>IF(B76=1,CONCATENATE("=",$G$7,A76,"}"),CONCATENATE("~",$G$7,A76,"}"))</f>
        <v>~[moodle]50000}</v>
      </c>
      <c r="J76" s="38"/>
    </row>
    <row r="77" spans="1:10" ht="15" customHeight="1" x14ac:dyDescent="0.35">
      <c r="A77" s="11" t="s">
        <v>210</v>
      </c>
      <c r="B77" s="16"/>
      <c r="C77" s="18"/>
      <c r="D77" s="37" t="str">
        <f t="shared" ref="D77" si="31">CONCATENATE("::",$A$1,"_",$C$1,"_")</f>
        <v>::PRETEST_PRAKOM_</v>
      </c>
      <c r="E77" s="37" t="s">
        <v>192</v>
      </c>
      <c r="F77" s="37" t="s">
        <v>12</v>
      </c>
      <c r="G77" s="37" t="s">
        <v>13</v>
      </c>
      <c r="H77" s="37" t="s">
        <v>11</v>
      </c>
      <c r="I77" s="15" t="str">
        <f>CONCATENATE(D77,E77,F77,H77,A77," \:{")</f>
        <v>::PRETEST_PRAKOM_016::[html]Proses yang berhubungan dengan pengelolaan perubahan infrastruktur atau aspek TI lainnya adalah \:{</v>
      </c>
      <c r="J77" s="38" t="str">
        <f t="shared" ref="J77" si="32">CONCATENATE(I77,I78,I79,I80,I81)</f>
        <v>::PRETEST_PRAKOM_016::[html]Proses yang berhubungan dengan pengelolaan perubahan infrastruktur atau aspek TI lainnya adalah \:{~[moodle]Change Management ~[moodle]Incident Management =[moodle]Service Request Management ~[moodle]Problem Management}</v>
      </c>
    </row>
    <row r="78" spans="1:10" ht="15" customHeight="1" x14ac:dyDescent="0.35">
      <c r="A78" s="11" t="s">
        <v>211</v>
      </c>
      <c r="B78" s="16">
        <v>0</v>
      </c>
      <c r="C78" s="14"/>
      <c r="D78" s="37"/>
      <c r="E78" s="37"/>
      <c r="F78" s="37"/>
      <c r="G78" s="37"/>
      <c r="H78" s="37"/>
      <c r="I78" s="15" t="str">
        <f>IF(B78=1,CONCATENATE("=",$G$7,A78," "),CONCATENATE("~",$G$7,A78," "))</f>
        <v xml:space="preserve">~[moodle]Change Management </v>
      </c>
      <c r="J78" s="38"/>
    </row>
    <row r="79" spans="1:10" ht="15" customHeight="1" x14ac:dyDescent="0.35">
      <c r="A79" s="11" t="s">
        <v>212</v>
      </c>
      <c r="B79" s="16">
        <v>0</v>
      </c>
      <c r="C79" s="14"/>
      <c r="D79" s="37"/>
      <c r="E79" s="37"/>
      <c r="F79" s="37"/>
      <c r="G79" s="37"/>
      <c r="H79" s="37"/>
      <c r="I79" s="15" t="str">
        <f t="shared" ref="I79:I80" si="33">IF(B79=1,CONCATENATE("=",$G$7,A79," "),CONCATENATE("~",$G$7,A79," "))</f>
        <v xml:space="preserve">~[moodle]Incident Management </v>
      </c>
      <c r="J79" s="38"/>
    </row>
    <row r="80" spans="1:10" ht="15" customHeight="1" x14ac:dyDescent="0.35">
      <c r="A80" s="12" t="s">
        <v>213</v>
      </c>
      <c r="B80" s="16">
        <v>1</v>
      </c>
      <c r="C80" s="14"/>
      <c r="D80" s="37"/>
      <c r="E80" s="37"/>
      <c r="F80" s="37"/>
      <c r="G80" s="37"/>
      <c r="H80" s="37"/>
      <c r="I80" s="15" t="str">
        <f t="shared" si="33"/>
        <v xml:space="preserve">=[moodle]Service Request Management </v>
      </c>
      <c r="J80" s="38"/>
    </row>
    <row r="81" spans="1:10" ht="15" customHeight="1" x14ac:dyDescent="0.35">
      <c r="A81" s="11" t="s">
        <v>214</v>
      </c>
      <c r="B81" s="16">
        <v>0</v>
      </c>
      <c r="C81" s="14"/>
      <c r="D81" s="37"/>
      <c r="E81" s="37"/>
      <c r="F81" s="37"/>
      <c r="G81" s="37"/>
      <c r="H81" s="37"/>
      <c r="I81" s="15" t="str">
        <f>IF(B81=1,CONCATENATE("=",$G$7,A81,"}"),CONCATENATE("~",$G$7,A81,"}"))</f>
        <v>~[moodle]Problem Management}</v>
      </c>
      <c r="J81" s="38"/>
    </row>
    <row r="82" spans="1:10" ht="15" customHeight="1" x14ac:dyDescent="0.35">
      <c r="A82" s="8" t="s">
        <v>117</v>
      </c>
      <c r="B82" s="16"/>
      <c r="C82" s="18"/>
      <c r="D82" s="37" t="str">
        <f t="shared" ref="D82" si="34">CONCATENATE("::",$A$1,"_",$C$1,"_")</f>
        <v>::PRETEST_PRAKOM_</v>
      </c>
      <c r="E82" s="37" t="s">
        <v>193</v>
      </c>
      <c r="F82" s="37" t="s">
        <v>12</v>
      </c>
      <c r="G82" s="37" t="s">
        <v>13</v>
      </c>
      <c r="H82" s="37" t="s">
        <v>11</v>
      </c>
      <c r="I82" s="15" t="str">
        <f>CONCATENATE(D82,E82,F82,H82,A82," \:{")</f>
        <v>::PRETEST_PRAKOM_017::[html]Berikut ini yang bukan merupakan proses manajemen risiko TI yaitu \:{</v>
      </c>
      <c r="J82" s="38" t="str">
        <f t="shared" ref="J82" si="35">CONCATENATE(I82,I83,I84,I85,I86)</f>
        <v>::PRETEST_PRAKOM_017::[html]Berikut ini yang bukan merupakan proses manajemen risiko TI yaitu \:{~[moodle]Komunikasi dan konsultasi ~[moodle]Penilaian risiko TI ~[moodle]Pemantauan dan reviu =[moodle]Kepemimpinan dan komitmen}</v>
      </c>
    </row>
    <row r="83" spans="1:10" ht="15" customHeight="1" x14ac:dyDescent="0.35">
      <c r="A83" s="9" t="s">
        <v>119</v>
      </c>
      <c r="B83" s="16">
        <v>0</v>
      </c>
      <c r="C83" s="14"/>
      <c r="D83" s="37"/>
      <c r="E83" s="37"/>
      <c r="F83" s="37"/>
      <c r="G83" s="37"/>
      <c r="H83" s="37"/>
      <c r="I83" s="15" t="str">
        <f>IF(B83=1,CONCATENATE("=",$G$7,A83," "),CONCATENATE("~",$G$7,A83," "))</f>
        <v xml:space="preserve">~[moodle]Komunikasi dan konsultasi </v>
      </c>
      <c r="J83" s="38"/>
    </row>
    <row r="84" spans="1:10" ht="15" customHeight="1" x14ac:dyDescent="0.35">
      <c r="A84" s="9" t="s">
        <v>120</v>
      </c>
      <c r="B84" s="16">
        <v>0</v>
      </c>
      <c r="C84" s="14"/>
      <c r="D84" s="37"/>
      <c r="E84" s="37"/>
      <c r="F84" s="37"/>
      <c r="G84" s="37"/>
      <c r="H84" s="37"/>
      <c r="I84" s="15" t="str">
        <f t="shared" ref="I84:I85" si="36">IF(B84=1,CONCATENATE("=",$G$7,A84," "),CONCATENATE("~",$G$7,A84," "))</f>
        <v xml:space="preserve">~[moodle]Penilaian risiko TI </v>
      </c>
      <c r="J84" s="38"/>
    </row>
    <row r="85" spans="1:10" ht="15" customHeight="1" x14ac:dyDescent="0.35">
      <c r="A85" s="9" t="s">
        <v>121</v>
      </c>
      <c r="B85" s="16">
        <v>0</v>
      </c>
      <c r="C85" s="14"/>
      <c r="D85" s="37"/>
      <c r="E85" s="37"/>
      <c r="F85" s="37"/>
      <c r="G85" s="37"/>
      <c r="H85" s="37"/>
      <c r="I85" s="15" t="str">
        <f t="shared" si="36"/>
        <v xml:space="preserve">~[moodle]Pemantauan dan reviu </v>
      </c>
      <c r="J85" s="38"/>
    </row>
    <row r="86" spans="1:10" ht="15" customHeight="1" x14ac:dyDescent="0.35">
      <c r="A86" s="10" t="s">
        <v>118</v>
      </c>
      <c r="B86" s="16">
        <v>1</v>
      </c>
      <c r="C86" s="14"/>
      <c r="D86" s="37"/>
      <c r="E86" s="37"/>
      <c r="F86" s="37"/>
      <c r="G86" s="37"/>
      <c r="H86" s="37"/>
      <c r="I86" s="15" t="str">
        <f>IF(B86=1,CONCATENATE("=",$G$7,A86,"}"),CONCATENATE("~",$G$7,A86,"}"))</f>
        <v>=[moodle]Kepemimpinan dan komitmen}</v>
      </c>
      <c r="J86" s="38"/>
    </row>
    <row r="87" spans="1:10" ht="15" customHeight="1" x14ac:dyDescent="0.35">
      <c r="A87" s="8" t="s">
        <v>122</v>
      </c>
      <c r="B87" s="16"/>
      <c r="C87" s="18"/>
      <c r="D87" s="37" t="str">
        <f t="shared" ref="D87" si="37">CONCATENATE("::",$A$1,"_",$C$1,"_")</f>
        <v>::PRETEST_PRAKOM_</v>
      </c>
      <c r="E87" s="37" t="s">
        <v>223</v>
      </c>
      <c r="F87" s="37" t="s">
        <v>12</v>
      </c>
      <c r="G87" s="37" t="s">
        <v>13</v>
      </c>
      <c r="H87" s="37" t="s">
        <v>11</v>
      </c>
      <c r="I87" s="15" t="str">
        <f>CONCATENATE(D87,E87,F87,H87,A87," \:{")</f>
        <v>::PRETEST_PRAKOM_018::[html]Informasi yang harus didapatkan saat proses identifikasi risiko TI yaitu, kecuali \:{</v>
      </c>
      <c r="J87" s="38" t="str">
        <f t="shared" ref="J87" si="38">CONCATENATE(I87,I88,I89,I90,I91)</f>
        <v>::PRETEST_PRAKOM_018::[html]Informasi yang harus didapatkan saat proses identifikasi risiko TI yaitu, kecuali \:{~[moodle]Jenis risiko TI ~[moodle]Penyebab risiko TI =[moodle]Level risiko TI ~[moodle]Kategori risiko TI}</v>
      </c>
    </row>
    <row r="88" spans="1:10" ht="15" customHeight="1" x14ac:dyDescent="0.35">
      <c r="A88" s="7" t="s">
        <v>123</v>
      </c>
      <c r="B88" s="16">
        <v>0</v>
      </c>
      <c r="C88" s="14"/>
      <c r="D88" s="37"/>
      <c r="E88" s="37"/>
      <c r="F88" s="37"/>
      <c r="G88" s="37"/>
      <c r="H88" s="37"/>
      <c r="I88" s="15" t="str">
        <f>IF(B88=1,CONCATENATE("=",$G$7,A88," "),CONCATENATE("~",$G$7,A88," "))</f>
        <v xml:space="preserve">~[moodle]Jenis risiko TI </v>
      </c>
      <c r="J88" s="38"/>
    </row>
    <row r="89" spans="1:10" ht="15" customHeight="1" x14ac:dyDescent="0.35">
      <c r="A89" s="7" t="s">
        <v>124</v>
      </c>
      <c r="B89" s="16">
        <v>0</v>
      </c>
      <c r="C89" s="14"/>
      <c r="D89" s="37"/>
      <c r="E89" s="37"/>
      <c r="F89" s="37"/>
      <c r="G89" s="37"/>
      <c r="H89" s="37"/>
      <c r="I89" s="15" t="str">
        <f t="shared" ref="I89:I90" si="39">IF(B89=1,CONCATENATE("=",$G$7,A89," "),CONCATENATE("~",$G$7,A89," "))</f>
        <v xml:space="preserve">~[moodle]Penyebab risiko TI </v>
      </c>
      <c r="J89" s="38"/>
    </row>
    <row r="90" spans="1:10" ht="15" customHeight="1" x14ac:dyDescent="0.35">
      <c r="A90" s="6" t="s">
        <v>125</v>
      </c>
      <c r="B90" s="16">
        <v>1</v>
      </c>
      <c r="C90" s="14"/>
      <c r="D90" s="37"/>
      <c r="E90" s="37"/>
      <c r="F90" s="37"/>
      <c r="G90" s="37"/>
      <c r="H90" s="37"/>
      <c r="I90" s="15" t="str">
        <f t="shared" si="39"/>
        <v xml:space="preserve">=[moodle]Level risiko TI </v>
      </c>
      <c r="J90" s="38"/>
    </row>
    <row r="91" spans="1:10" ht="15" customHeight="1" x14ac:dyDescent="0.35">
      <c r="A91" s="7" t="s">
        <v>126</v>
      </c>
      <c r="B91" s="16">
        <v>0</v>
      </c>
      <c r="C91" s="14"/>
      <c r="D91" s="37"/>
      <c r="E91" s="37"/>
      <c r="F91" s="37"/>
      <c r="G91" s="37"/>
      <c r="H91" s="37"/>
      <c r="I91" s="15" t="str">
        <f>IF(B91=1,CONCATENATE("=",$G$7,A91,"}"),CONCATENATE("~",$G$7,A91,"}"))</f>
        <v>~[moodle]Kategori risiko TI}</v>
      </c>
      <c r="J91" s="38"/>
    </row>
    <row r="92" spans="1:10" ht="15" customHeight="1" x14ac:dyDescent="0.35">
      <c r="A92" s="8" t="s">
        <v>127</v>
      </c>
      <c r="B92" s="16"/>
      <c r="C92" s="18"/>
      <c r="D92" s="37" t="str">
        <f t="shared" ref="D92" si="40">CONCATENATE("::",$A$1,"_",$C$1,"_")</f>
        <v>::PRETEST_PRAKOM_</v>
      </c>
      <c r="E92" s="37" t="s">
        <v>224</v>
      </c>
      <c r="F92" s="37" t="s">
        <v>12</v>
      </c>
      <c r="G92" s="37" t="s">
        <v>13</v>
      </c>
      <c r="H92" s="37" t="s">
        <v>11</v>
      </c>
      <c r="I92" s="15" t="str">
        <f>CONCATENATE(D92,E92,F92,H92,A92," \:{")</f>
        <v>::PRETEST_PRAKOM_019::[html]Cara menentukan besaran nilai risiko TI pada matrik analisis risiko TI yaitu \:{</v>
      </c>
      <c r="J92" s="38" t="str">
        <f t="shared" ref="J92" si="41">CONCATENATE(I92,I93,I94,I95,I96)</f>
        <v>::PRETEST_PRAKOM_019::[html]Cara menentukan besaran nilai risiko TI pada matrik analisis risiko TI yaitu \:{~[moodle]Angka berurutan dari 1 sampai dengan hasil perkalian antara jumlah level kemungkinan dan jumlah level dampak ~[moodle]Angka hasil dari perkalian antara level kemungkinan dan level dampak =[moodle]Benar Semua ~[moodle]Salah semua}</v>
      </c>
    </row>
    <row r="93" spans="1:10" ht="15" customHeight="1" x14ac:dyDescent="0.35">
      <c r="A93" s="7" t="s">
        <v>128</v>
      </c>
      <c r="B93" s="16">
        <v>0</v>
      </c>
      <c r="C93" s="14"/>
      <c r="D93" s="37"/>
      <c r="E93" s="37"/>
      <c r="F93" s="37"/>
      <c r="G93" s="37"/>
      <c r="H93" s="37"/>
      <c r="I93" s="15" t="str">
        <f>IF(B93=1,CONCATENATE("=",$G$7,A93," "),CONCATENATE("~",$G$7,A93," "))</f>
        <v xml:space="preserve">~[moodle]Angka berurutan dari 1 sampai dengan hasil perkalian antara jumlah level kemungkinan dan jumlah level dampak </v>
      </c>
      <c r="J93" s="38"/>
    </row>
    <row r="94" spans="1:10" ht="15" customHeight="1" x14ac:dyDescent="0.35">
      <c r="A94" s="7" t="s">
        <v>129</v>
      </c>
      <c r="B94" s="16">
        <v>0</v>
      </c>
      <c r="C94" s="14"/>
      <c r="D94" s="37"/>
      <c r="E94" s="37"/>
      <c r="F94" s="37"/>
      <c r="G94" s="37"/>
      <c r="H94" s="37"/>
      <c r="I94" s="15" t="str">
        <f t="shared" ref="I94:I95" si="42">IF(B94=1,CONCATENATE("=",$G$7,A94," "),CONCATENATE("~",$G$7,A94," "))</f>
        <v xml:space="preserve">~[moodle]Angka hasil dari perkalian antara level kemungkinan dan level dampak </v>
      </c>
      <c r="J94" s="38"/>
    </row>
    <row r="95" spans="1:10" ht="15" customHeight="1" x14ac:dyDescent="0.35">
      <c r="A95" s="6" t="s">
        <v>170</v>
      </c>
      <c r="B95" s="16">
        <v>1</v>
      </c>
      <c r="C95" s="14"/>
      <c r="D95" s="37"/>
      <c r="E95" s="37"/>
      <c r="F95" s="37"/>
      <c r="G95" s="37"/>
      <c r="H95" s="37"/>
      <c r="I95" s="15" t="str">
        <f t="shared" si="42"/>
        <v xml:space="preserve">=[moodle]Benar Semua </v>
      </c>
      <c r="J95" s="38"/>
    </row>
    <row r="96" spans="1:10" ht="15" customHeight="1" x14ac:dyDescent="0.35">
      <c r="A96" t="s">
        <v>116</v>
      </c>
      <c r="B96" s="16">
        <v>0</v>
      </c>
      <c r="C96" s="14"/>
      <c r="D96" s="37"/>
      <c r="E96" s="37"/>
      <c r="F96" s="37"/>
      <c r="G96" s="37"/>
      <c r="H96" s="37"/>
      <c r="I96" s="15" t="str">
        <f>IF(B96=1,CONCATENATE("=",$G$7,A96,"}"),CONCATENATE("~",$G$7,A96,"}"))</f>
        <v>~[moodle]Salah semua}</v>
      </c>
      <c r="J96" s="38"/>
    </row>
    <row r="97" spans="1:10" ht="15" customHeight="1" x14ac:dyDescent="0.35">
      <c r="A97" s="8" t="s">
        <v>130</v>
      </c>
      <c r="B97" s="16"/>
      <c r="C97" s="18"/>
      <c r="D97" s="37" t="str">
        <f t="shared" ref="D97" si="43">CONCATENATE("::",$A$1,"_",$C$1,"_")</f>
        <v>::PRETEST_PRAKOM_</v>
      </c>
      <c r="E97" s="37" t="s">
        <v>225</v>
      </c>
      <c r="F97" s="37" t="s">
        <v>12</v>
      </c>
      <c r="G97" s="37" t="s">
        <v>13</v>
      </c>
      <c r="H97" s="37" t="s">
        <v>11</v>
      </c>
      <c r="I97" s="15" t="str">
        <f>CONCATENATE(D97,E97,F97,H97,A97," \:{")</f>
        <v>::PRETEST_PRAKOM_020::[html]Nilai acuan yang digunakan sebagai ambang batas minimum terhadap besaran risiko TI yang harus ditangani merupakan pengertian dari … \:{</v>
      </c>
      <c r="J97" s="38" t="str">
        <f t="shared" ref="J97" si="44">CONCATENATE(I97,I98,I99,I100,I101)</f>
        <v>::PRETEST_PRAKOM_020::[html]Nilai acuan yang digunakan sebagai ambang batas minimum terhadap besaran risiko TI yang harus ditangani merupakan pengertian dari … \:{~[moodle]Residual risiko ~[moodle]Kriteria risiko ~[moodle]Selera risiko =[moodle]Level risiko}</v>
      </c>
    </row>
    <row r="98" spans="1:10" ht="15" customHeight="1" x14ac:dyDescent="0.35">
      <c r="A98" s="7" t="s">
        <v>215</v>
      </c>
      <c r="B98" s="16">
        <v>0</v>
      </c>
      <c r="C98" s="14"/>
      <c r="D98" s="37"/>
      <c r="E98" s="37"/>
      <c r="F98" s="37"/>
      <c r="G98" s="37"/>
      <c r="H98" s="37"/>
      <c r="I98" s="15" t="str">
        <f>IF(B98=1,CONCATENATE("=",$G$7,A98," "),CONCATENATE("~",$G$7,A98," "))</f>
        <v xml:space="preserve">~[moodle]Residual risiko </v>
      </c>
      <c r="J98" s="38"/>
    </row>
    <row r="99" spans="1:10" ht="15" customHeight="1" x14ac:dyDescent="0.35">
      <c r="A99" s="7" t="s">
        <v>216</v>
      </c>
      <c r="B99" s="16">
        <v>0</v>
      </c>
      <c r="C99" s="14"/>
      <c r="D99" s="37"/>
      <c r="E99" s="37"/>
      <c r="F99" s="37"/>
      <c r="G99" s="37"/>
      <c r="H99" s="37"/>
      <c r="I99" s="15" t="str">
        <f t="shared" ref="I99:I100" si="45">IF(B99=1,CONCATENATE("=",$G$7,A99," "),CONCATENATE("~",$G$7,A99," "))</f>
        <v xml:space="preserve">~[moodle]Kriteria risiko </v>
      </c>
      <c r="J99" s="38"/>
    </row>
    <row r="100" spans="1:10" ht="15" customHeight="1" x14ac:dyDescent="0.35">
      <c r="A100" s="6" t="s">
        <v>217</v>
      </c>
      <c r="B100" s="16">
        <v>0</v>
      </c>
      <c r="C100" s="14"/>
      <c r="D100" s="37"/>
      <c r="E100" s="37"/>
      <c r="F100" s="37"/>
      <c r="G100" s="37"/>
      <c r="H100" s="37"/>
      <c r="I100" s="15" t="str">
        <f t="shared" si="45"/>
        <v xml:space="preserve">~[moodle]Selera risiko </v>
      </c>
      <c r="J100" s="38"/>
    </row>
    <row r="101" spans="1:10" ht="15" customHeight="1" x14ac:dyDescent="0.35">
      <c r="A101" s="7" t="s">
        <v>218</v>
      </c>
      <c r="B101" s="16">
        <v>1</v>
      </c>
      <c r="C101" s="14"/>
      <c r="D101" s="37"/>
      <c r="E101" s="37"/>
      <c r="F101" s="37"/>
      <c r="G101" s="37"/>
      <c r="H101" s="37"/>
      <c r="I101" s="15" t="str">
        <f>IF(B101=1,CONCATENATE("=",$G$7,A101,"}"),CONCATENATE("~",$G$7,A101,"}"))</f>
        <v>=[moodle]Level risiko}</v>
      </c>
      <c r="J101" s="38"/>
    </row>
    <row r="102" spans="1:10" ht="15" customHeight="1" x14ac:dyDescent="0.35">
      <c r="A102" s="8" t="s">
        <v>236</v>
      </c>
      <c r="B102" s="16"/>
      <c r="C102" s="18"/>
      <c r="D102" s="37" t="str">
        <f t="shared" ref="D102" si="46">CONCATENATE("::",$A$1,"_",$C$1,"_")</f>
        <v>::PRETEST_PRAKOM_</v>
      </c>
      <c r="E102" s="37" t="s">
        <v>226</v>
      </c>
      <c r="F102" s="37" t="s">
        <v>12</v>
      </c>
      <c r="G102" s="37" t="s">
        <v>13</v>
      </c>
      <c r="H102" s="37" t="s">
        <v>11</v>
      </c>
      <c r="I102" s="15" t="str">
        <f>CONCATENATE(D102,E102,F102,H102,A102," \:{")</f>
        <v>::PRETEST_PRAKOM_021::[html]Manakah dari pilihan jawaban berikut ini yang TIDAK termasuk aspek-aspek TELOS pada studi kelayakan pengolahan data? \:{</v>
      </c>
      <c r="J102" s="38" t="str">
        <f t="shared" ref="J102" si="47">CONCATENATE(I102,I103,I104,I105,I106)</f>
        <v>::PRETEST_PRAKOM_021::[html]Manakah dari pilihan jawaban berikut ini yang TIDAK termasuk aspek-aspek TELOS pada studi kelayakan pengolahan data? \:{~[moodle]Aspek teknis ~[moodle]Aspek hukum ~[moodle]Aspek jadwal =[moodle]Aspek kinerja}</v>
      </c>
    </row>
    <row r="103" spans="1:10" ht="15" customHeight="1" x14ac:dyDescent="0.35">
      <c r="A103" s="7" t="s">
        <v>219</v>
      </c>
      <c r="B103" s="16">
        <v>0</v>
      </c>
      <c r="C103" s="14"/>
      <c r="D103" s="37"/>
      <c r="E103" s="37"/>
      <c r="F103" s="37"/>
      <c r="G103" s="37"/>
      <c r="H103" s="37"/>
      <c r="I103" s="15" t="str">
        <f>IF(B103=1,CONCATENATE("=",$G$7,A103," "),CONCATENATE("~",$G$7,A103," "))</f>
        <v xml:space="preserve">~[moodle]Aspek teknis </v>
      </c>
      <c r="J103" s="38"/>
    </row>
    <row r="104" spans="1:10" ht="15" customHeight="1" x14ac:dyDescent="0.35">
      <c r="A104" s="7" t="s">
        <v>220</v>
      </c>
      <c r="B104" s="16">
        <v>0</v>
      </c>
      <c r="C104" s="14"/>
      <c r="D104" s="37"/>
      <c r="E104" s="37"/>
      <c r="F104" s="37"/>
      <c r="G104" s="37"/>
      <c r="H104" s="37"/>
      <c r="I104" s="15" t="str">
        <f t="shared" ref="I104:I105" si="48">IF(B104=1,CONCATENATE("=",$G$7,A104," "),CONCATENATE("~",$G$7,A104," "))</f>
        <v xml:space="preserve">~[moodle]Aspek hukum </v>
      </c>
      <c r="J104" s="38"/>
    </row>
    <row r="105" spans="1:10" ht="15" customHeight="1" x14ac:dyDescent="0.35">
      <c r="A105" s="7" t="s">
        <v>221</v>
      </c>
      <c r="B105" s="16">
        <v>0</v>
      </c>
      <c r="C105" s="14"/>
      <c r="D105" s="37"/>
      <c r="E105" s="37"/>
      <c r="F105" s="37"/>
      <c r="G105" s="37"/>
      <c r="H105" s="37"/>
      <c r="I105" s="15" t="str">
        <f t="shared" si="48"/>
        <v xml:space="preserve">~[moodle]Aspek jadwal </v>
      </c>
      <c r="J105" s="38"/>
    </row>
    <row r="106" spans="1:10" ht="15" customHeight="1" x14ac:dyDescent="0.35">
      <c r="A106" s="6" t="s">
        <v>222</v>
      </c>
      <c r="B106" s="16">
        <v>1</v>
      </c>
      <c r="C106" s="14"/>
      <c r="D106" s="37"/>
      <c r="E106" s="37"/>
      <c r="F106" s="37"/>
      <c r="G106" s="37"/>
      <c r="H106" s="37"/>
      <c r="I106" s="15" t="str">
        <f>IF(B106=1,CONCATENATE("=",$G$7,A106,"}"),CONCATENATE("~",$G$7,A106,"}"))</f>
        <v>=[moodle]Aspek kinerja}</v>
      </c>
      <c r="J106" s="38"/>
    </row>
    <row r="107" spans="1:10" ht="15" customHeight="1" x14ac:dyDescent="0.35">
      <c r="A107" s="8" t="s">
        <v>237</v>
      </c>
      <c r="B107" s="16"/>
      <c r="C107" s="18"/>
      <c r="D107" s="37" t="str">
        <f t="shared" ref="D107" si="49">CONCATENATE("::",$A$1,"_",$C$1,"_")</f>
        <v>::PRETEST_PRAKOM_</v>
      </c>
      <c r="E107" s="37" t="s">
        <v>227</v>
      </c>
      <c r="F107" s="37" t="s">
        <v>12</v>
      </c>
      <c r="G107" s="37" t="s">
        <v>13</v>
      </c>
      <c r="H107" s="37" t="s">
        <v>11</v>
      </c>
      <c r="I107" s="15" t="str">
        <f>CONCATENATE(D107,E107,F107,H107,A107," \:{")</f>
        <v>::PRETEST_PRAKOM_022::[html]Suatu studi yang akan digunakan untuk menentukan kemungkinan apakah suatu kegiatan layak diteruskan atau dihentikan merupakan pengertian dari …. \:{</v>
      </c>
      <c r="J107" s="38" t="str">
        <f t="shared" ref="J107" si="50">CONCATENATE(I107,I108,I109,I110,I111)</f>
        <v>::PRETEST_PRAKOM_022::[html]Suatu studi yang akan digunakan untuk menentukan kemungkinan apakah suatu kegiatan layak diteruskan atau dihentikan merupakan pengertian dari …. \:{~[moodle]fact-finding analysis =[moodle]feasibility study ~[moodle]research design ~[moodle]FGD}</v>
      </c>
    </row>
    <row r="108" spans="1:10" ht="15" customHeight="1" x14ac:dyDescent="0.35">
      <c r="A108" s="23" t="s">
        <v>238</v>
      </c>
      <c r="B108" s="16">
        <v>0</v>
      </c>
      <c r="C108" s="14"/>
      <c r="D108" s="37"/>
      <c r="E108" s="37"/>
      <c r="F108" s="37"/>
      <c r="G108" s="37"/>
      <c r="H108" s="37"/>
      <c r="I108" s="15" t="str">
        <f>IF(B108=1,CONCATENATE("=",$G$7,A108," "),CONCATENATE("~",$G$7,A108," "))</f>
        <v xml:space="preserve">~[moodle]fact-finding analysis </v>
      </c>
      <c r="J108" s="38"/>
    </row>
    <row r="109" spans="1:10" ht="15" customHeight="1" x14ac:dyDescent="0.35">
      <c r="A109" s="24" t="s">
        <v>239</v>
      </c>
      <c r="B109" s="16">
        <v>1</v>
      </c>
      <c r="C109" s="14"/>
      <c r="D109" s="37"/>
      <c r="E109" s="37"/>
      <c r="F109" s="37"/>
      <c r="G109" s="37"/>
      <c r="H109" s="37"/>
      <c r="I109" s="15" t="str">
        <f t="shared" ref="I109:I110" si="51">IF(B109=1,CONCATENATE("=",$G$7,A109," "),CONCATENATE("~",$G$7,A109," "))</f>
        <v xml:space="preserve">=[moodle]feasibility study </v>
      </c>
      <c r="J109" s="38"/>
    </row>
    <row r="110" spans="1:10" ht="15" customHeight="1" x14ac:dyDescent="0.35">
      <c r="A110" s="23" t="s">
        <v>240</v>
      </c>
      <c r="B110" s="16">
        <v>0</v>
      </c>
      <c r="C110" s="14"/>
      <c r="D110" s="37"/>
      <c r="E110" s="37"/>
      <c r="F110" s="37"/>
      <c r="G110" s="37"/>
      <c r="H110" s="37"/>
      <c r="I110" s="15" t="str">
        <f t="shared" si="51"/>
        <v xml:space="preserve">~[moodle]research design </v>
      </c>
      <c r="J110" s="38"/>
    </row>
    <row r="111" spans="1:10" ht="15" customHeight="1" x14ac:dyDescent="0.35">
      <c r="A111" s="23" t="s">
        <v>241</v>
      </c>
      <c r="B111" s="16">
        <v>0</v>
      </c>
      <c r="C111" s="14"/>
      <c r="D111" s="37"/>
      <c r="E111" s="37"/>
      <c r="F111" s="37"/>
      <c r="G111" s="37"/>
      <c r="H111" s="37"/>
      <c r="I111" s="15" t="str">
        <f>IF(B111=1,CONCATENATE("=",$G$7,A111,"}"),CONCATENATE("~",$G$7,A111,"}"))</f>
        <v>~[moodle]FGD}</v>
      </c>
      <c r="J111" s="38"/>
    </row>
    <row r="112" spans="1:10" ht="15" customHeight="1" x14ac:dyDescent="0.35">
      <c r="A112" s="8" t="s">
        <v>242</v>
      </c>
      <c r="B112" s="16"/>
      <c r="C112" s="18"/>
      <c r="D112" s="37" t="str">
        <f t="shared" ref="D112" si="52">CONCATENATE("::",$A$1,"_",$C$1,"_")</f>
        <v>::PRETEST_PRAKOM_</v>
      </c>
      <c r="E112" s="37" t="s">
        <v>228</v>
      </c>
      <c r="F112" s="37" t="s">
        <v>12</v>
      </c>
      <c r="G112" s="37" t="s">
        <v>13</v>
      </c>
      <c r="H112" s="37" t="s">
        <v>11</v>
      </c>
      <c r="I112" s="15" t="str">
        <f>CONCATENATE(D112,E112,F112,H112,A112," \:{")</f>
        <v>::PRETEST_PRAKOM_023::[html]Metode pemuatan data jika volume data nya sangat besar dan organisasi tidak membutuhkan pengaksesan data secara realtime, yaitu menggunakan ….. \:{</v>
      </c>
      <c r="J112" s="38" t="str">
        <f t="shared" ref="J112" si="53">CONCATENATE(I112,I113,I114,I115,I116)</f>
        <v>::PRETEST_PRAKOM_023::[html]Metode pemuatan data jika volume data nya sangat besar dan organisasi tidak membutuhkan pengaksesan data secara realtime, yaitu menggunakan ….. \:{~[moodle]temporary processing ~[moodle]redudancy processing ~[moodle]realtime processing =[moodle]batch processing}</v>
      </c>
    </row>
    <row r="113" spans="1:10" ht="15" customHeight="1" x14ac:dyDescent="0.35">
      <c r="A113" s="23" t="s">
        <v>243</v>
      </c>
      <c r="B113" s="16">
        <v>0</v>
      </c>
      <c r="C113" s="14"/>
      <c r="D113" s="37"/>
      <c r="E113" s="37"/>
      <c r="F113" s="37"/>
      <c r="G113" s="37"/>
      <c r="H113" s="37"/>
      <c r="I113" s="15" t="str">
        <f>IF(B113=1,CONCATENATE("=",$G$7,A113," "),CONCATENATE("~",$G$7,A113," "))</f>
        <v xml:space="preserve">~[moodle]temporary processing </v>
      </c>
      <c r="J113" s="38"/>
    </row>
    <row r="114" spans="1:10" ht="15" customHeight="1" x14ac:dyDescent="0.35">
      <c r="A114" s="23" t="s">
        <v>244</v>
      </c>
      <c r="B114" s="16">
        <v>0</v>
      </c>
      <c r="C114" s="14"/>
      <c r="D114" s="37"/>
      <c r="E114" s="37"/>
      <c r="F114" s="37"/>
      <c r="G114" s="37"/>
      <c r="H114" s="37"/>
      <c r="I114" s="15" t="str">
        <f t="shared" ref="I114:I115" si="54">IF(B114=1,CONCATENATE("=",$G$7,A114," "),CONCATENATE("~",$G$7,A114," "))</f>
        <v xml:space="preserve">~[moodle]redudancy processing </v>
      </c>
      <c r="J114" s="38"/>
    </row>
    <row r="115" spans="1:10" ht="15" customHeight="1" x14ac:dyDescent="0.35">
      <c r="A115" s="23" t="s">
        <v>245</v>
      </c>
      <c r="B115" s="16">
        <v>0</v>
      </c>
      <c r="C115" s="14"/>
      <c r="D115" s="37"/>
      <c r="E115" s="37"/>
      <c r="F115" s="37"/>
      <c r="G115" s="37"/>
      <c r="H115" s="37"/>
      <c r="I115" s="15" t="str">
        <f t="shared" si="54"/>
        <v xml:space="preserve">~[moodle]realtime processing </v>
      </c>
      <c r="J115" s="38"/>
    </row>
    <row r="116" spans="1:10" ht="15" customHeight="1" x14ac:dyDescent="0.35">
      <c r="A116" s="24" t="s">
        <v>246</v>
      </c>
      <c r="B116" s="16">
        <v>1</v>
      </c>
      <c r="C116" s="14"/>
      <c r="D116" s="37"/>
      <c r="E116" s="37"/>
      <c r="F116" s="37"/>
      <c r="G116" s="37"/>
      <c r="H116" s="37"/>
      <c r="I116" s="15" t="str">
        <f>IF(B116=1,CONCATENATE("=",$G$7,A116,"}"),CONCATENATE("~",$G$7,A116,"}"))</f>
        <v>=[moodle]batch processing}</v>
      </c>
      <c r="J116" s="38"/>
    </row>
    <row r="117" spans="1:10" ht="15" customHeight="1" x14ac:dyDescent="0.35">
      <c r="A117" s="8" t="s">
        <v>247</v>
      </c>
      <c r="B117" s="16"/>
      <c r="C117" s="18"/>
      <c r="D117" s="37" t="str">
        <f t="shared" ref="D117" si="55">CONCATENATE("::",$A$1,"_",$C$1,"_")</f>
        <v>::PRETEST_PRAKOM_</v>
      </c>
      <c r="E117" s="37" t="s">
        <v>229</v>
      </c>
      <c r="F117" s="37" t="s">
        <v>12</v>
      </c>
      <c r="G117" s="37" t="s">
        <v>13</v>
      </c>
      <c r="H117" s="37" t="s">
        <v>11</v>
      </c>
      <c r="I117" s="15" t="str">
        <f>CONCATENATE(D117,E117,F117,H117,A117," \:{")</f>
        <v>::PRETEST_PRAKOM_024::[html]Troughput adalah  \:{</v>
      </c>
      <c r="J117" s="38" t="str">
        <f t="shared" ref="J117" si="56">CONCATENATE(I117,I118,I119,I120,I121)</f>
        <v>::PRETEST_PRAKOM_024::[html]Troughput adalah  \:{=[moodle]Ukuran bit yang ditransfer melintasi media selama periode waktu tertentu ~[moodle]Jaminan kecepatan transfer data yang ditawarkan oleh ISP ~[moodle]Waktu yang dibutuhkan sebuah pesan untuk sampai dari pengirim ke penerima ~[moodle]Ukuran data yang dapat digunakan yang ditransfer melalui media}</v>
      </c>
    </row>
    <row r="118" spans="1:10" ht="15" customHeight="1" x14ac:dyDescent="0.35">
      <c r="A118" s="25" t="s">
        <v>248</v>
      </c>
      <c r="B118" s="16">
        <v>1</v>
      </c>
      <c r="C118" s="14"/>
      <c r="D118" s="37"/>
      <c r="E118" s="37"/>
      <c r="F118" s="37"/>
      <c r="G118" s="37"/>
      <c r="H118" s="37"/>
      <c r="I118" s="15" t="str">
        <f>IF(B118=1,CONCATENATE("=",$G$7,A118," "),CONCATENATE("~",$G$7,A118," "))</f>
        <v xml:space="preserve">=[moodle]Ukuran bit yang ditransfer melintasi media selama periode waktu tertentu </v>
      </c>
      <c r="J118" s="38"/>
    </row>
    <row r="119" spans="1:10" ht="15" customHeight="1" x14ac:dyDescent="0.35">
      <c r="A119" s="25" t="s">
        <v>249</v>
      </c>
      <c r="B119" s="16">
        <v>0</v>
      </c>
      <c r="C119" s="14"/>
      <c r="D119" s="37"/>
      <c r="E119" s="37"/>
      <c r="F119" s="37"/>
      <c r="G119" s="37"/>
      <c r="H119" s="37"/>
      <c r="I119" s="15" t="str">
        <f t="shared" ref="I119:I120" si="57">IF(B119=1,CONCATENATE("=",$G$7,A119," "),CONCATENATE("~",$G$7,A119," "))</f>
        <v xml:space="preserve">~[moodle]Jaminan kecepatan transfer data yang ditawarkan oleh ISP </v>
      </c>
      <c r="J119" s="38"/>
    </row>
    <row r="120" spans="1:10" ht="15" customHeight="1" x14ac:dyDescent="0.35">
      <c r="A120" s="25" t="s">
        <v>250</v>
      </c>
      <c r="B120" s="16">
        <v>0</v>
      </c>
      <c r="C120" s="14"/>
      <c r="D120" s="37"/>
      <c r="E120" s="37"/>
      <c r="F120" s="37"/>
      <c r="G120" s="37"/>
      <c r="H120" s="37"/>
      <c r="I120" s="15" t="str">
        <f t="shared" si="57"/>
        <v xml:space="preserve">~[moodle]Waktu yang dibutuhkan sebuah pesan untuk sampai dari pengirim ke penerima </v>
      </c>
      <c r="J120" s="38"/>
    </row>
    <row r="121" spans="1:10" ht="15" customHeight="1" x14ac:dyDescent="0.35">
      <c r="A121" s="25" t="s">
        <v>251</v>
      </c>
      <c r="B121" s="16">
        <v>0</v>
      </c>
      <c r="C121" s="14"/>
      <c r="D121" s="37"/>
      <c r="E121" s="37"/>
      <c r="F121" s="37"/>
      <c r="G121" s="37"/>
      <c r="H121" s="37"/>
      <c r="I121" s="15" t="str">
        <f>IF(B121=1,CONCATENATE("=",$G$7,A121,"}"),CONCATENATE("~",$G$7,A121,"}"))</f>
        <v>~[moodle]Ukuran data yang dapat digunakan yang ditransfer melalui media}</v>
      </c>
      <c r="J121" s="38"/>
    </row>
    <row r="122" spans="1:10" ht="15" customHeight="1" x14ac:dyDescent="0.35">
      <c r="A122" s="25" t="s">
        <v>252</v>
      </c>
      <c r="B122" s="16"/>
      <c r="C122" s="18"/>
      <c r="D122" s="37" t="str">
        <f t="shared" ref="D122" si="58">CONCATENATE("::",$A$1,"_",$C$1,"_")</f>
        <v>::PRETEST_PRAKOM_</v>
      </c>
      <c r="E122" s="37" t="s">
        <v>230</v>
      </c>
      <c r="F122" s="37" t="s">
        <v>12</v>
      </c>
      <c r="G122" s="37" t="s">
        <v>13</v>
      </c>
      <c r="H122" s="37" t="s">
        <v>11</v>
      </c>
      <c r="I122" s="15" t="str">
        <f>CONCATENATE(D122,E122,F122,H122,A122," \:{")</f>
        <v>::PRETEST_PRAKOM_025::[html]Dalam perancangan jaringan komputer, ada istilah yang digunakan dalam pengaturan fisik dan logis dari node dan koneksi dalam jaringan dinamakan… \:{</v>
      </c>
      <c r="J122" s="38" t="str">
        <f t="shared" ref="J122" si="59">CONCATENATE(I122,I123,I124,I125,I126)</f>
        <v>::PRETEST_PRAKOM_025::[html]Dalam perancangan jaringan komputer, ada istilah yang digunakan dalam pengaturan fisik dan logis dari node dan koneksi dalam jaringan dinamakan… \:{=[moodle]Topologi ~[moodle]Segmen ~[moodle]Routing ~[moodle]Layer}</v>
      </c>
    </row>
    <row r="123" spans="1:10" ht="15" customHeight="1" x14ac:dyDescent="0.35">
      <c r="A123" s="26" t="s">
        <v>253</v>
      </c>
      <c r="B123" s="16">
        <v>1</v>
      </c>
      <c r="C123" s="14"/>
      <c r="D123" s="37"/>
      <c r="E123" s="37"/>
      <c r="F123" s="37"/>
      <c r="G123" s="37"/>
      <c r="H123" s="37"/>
      <c r="I123" s="15" t="str">
        <f>IF(B123=1,CONCATENATE("=",$G$7,A123," "),CONCATENATE("~",$G$7,A123," "))</f>
        <v xml:space="preserve">=[moodle]Topologi </v>
      </c>
      <c r="J123" s="38"/>
    </row>
    <row r="124" spans="1:10" ht="15" customHeight="1" x14ac:dyDescent="0.35">
      <c r="A124" s="25" t="s">
        <v>254</v>
      </c>
      <c r="B124" s="16">
        <v>0</v>
      </c>
      <c r="C124" s="14"/>
      <c r="D124" s="37"/>
      <c r="E124" s="37"/>
      <c r="F124" s="37"/>
      <c r="G124" s="37"/>
      <c r="H124" s="37"/>
      <c r="I124" s="15" t="str">
        <f t="shared" ref="I124:I125" si="60">IF(B124=1,CONCATENATE("=",$G$7,A124," "),CONCATENATE("~",$G$7,A124," "))</f>
        <v xml:space="preserve">~[moodle]Segmen </v>
      </c>
      <c r="J124" s="38"/>
    </row>
    <row r="125" spans="1:10" ht="15" customHeight="1" x14ac:dyDescent="0.35">
      <c r="A125" s="25" t="s">
        <v>255</v>
      </c>
      <c r="B125" s="16">
        <v>0</v>
      </c>
      <c r="C125" s="14"/>
      <c r="D125" s="37"/>
      <c r="E125" s="37"/>
      <c r="F125" s="37"/>
      <c r="G125" s="37"/>
      <c r="H125" s="37"/>
      <c r="I125" s="15" t="str">
        <f t="shared" si="60"/>
        <v xml:space="preserve">~[moodle]Routing </v>
      </c>
      <c r="J125" s="38"/>
    </row>
    <row r="126" spans="1:10" ht="15" customHeight="1" x14ac:dyDescent="0.35">
      <c r="A126" s="25" t="s">
        <v>256</v>
      </c>
      <c r="B126" s="16">
        <v>0</v>
      </c>
      <c r="C126" s="14"/>
      <c r="D126" s="37"/>
      <c r="E126" s="37"/>
      <c r="F126" s="37"/>
      <c r="G126" s="37"/>
      <c r="H126" s="37"/>
      <c r="I126" s="15" t="str">
        <f>IF(B126=1,CONCATENATE("=",$G$7,A126,"}"),CONCATENATE("~",$G$7,A126,"}"))</f>
        <v>~[moodle]Layer}</v>
      </c>
      <c r="J126" s="38"/>
    </row>
    <row r="127" spans="1:10" ht="15" customHeight="1" x14ac:dyDescent="0.35">
      <c r="A127" s="29" t="s">
        <v>257</v>
      </c>
      <c r="B127" s="16"/>
      <c r="C127" s="18"/>
      <c r="D127" s="37" t="str">
        <f t="shared" ref="D127" si="61">CONCATENATE("::",$A$1,"_",$C$1,"_")</f>
        <v>::PRETEST_PRAKOM_</v>
      </c>
      <c r="E127" s="37" t="s">
        <v>231</v>
      </c>
      <c r="F127" s="37" t="s">
        <v>12</v>
      </c>
      <c r="G127" s="37" t="s">
        <v>13</v>
      </c>
      <c r="H127" s="37" t="s">
        <v>11</v>
      </c>
      <c r="I127" s="15" t="str">
        <f>CONCATENATE(D127,E127,F127,H127,A127," \:{")</f>
        <v>::PRETEST_PRAKOM_026::[html]Pada suatu jaringan dengan Subnet mask 255.255.255.0 memiliki jumlah IP yg bs dipakai sebagai host sebanyak \:{</v>
      </c>
      <c r="J127" s="38" t="str">
        <f t="shared" ref="J127" si="62">CONCATENATE(I127,I128,I129,I130,I131)</f>
        <v>::PRETEST_PRAKOM_026::[html]Pada suatu jaringan dengan Subnet mask 255.255.255.0 memiliki jumlah IP yg bs dipakai sebagai host sebanyak \:{=[moodle]254 ~[moodle]255 ~[moodle]510 ~[moodle]512}</v>
      </c>
    </row>
    <row r="128" spans="1:10" ht="15" customHeight="1" x14ac:dyDescent="0.35">
      <c r="A128" s="30">
        <v>254</v>
      </c>
      <c r="B128" s="16">
        <v>1</v>
      </c>
      <c r="C128" s="14"/>
      <c r="D128" s="37"/>
      <c r="E128" s="37"/>
      <c r="F128" s="37"/>
      <c r="G128" s="37"/>
      <c r="H128" s="37"/>
      <c r="I128" s="15" t="str">
        <f>IF(B128=1,CONCATENATE("=",$G$7,A128," "),CONCATENATE("~",$G$7,A128," "))</f>
        <v xml:space="preserve">=[moodle]254 </v>
      </c>
      <c r="J128" s="38"/>
    </row>
    <row r="129" spans="1:10" ht="15" customHeight="1" x14ac:dyDescent="0.35">
      <c r="A129" s="31">
        <v>255</v>
      </c>
      <c r="B129" s="16">
        <v>0</v>
      </c>
      <c r="C129" s="14"/>
      <c r="D129" s="37"/>
      <c r="E129" s="37"/>
      <c r="F129" s="37"/>
      <c r="G129" s="37"/>
      <c r="H129" s="37"/>
      <c r="I129" s="15" t="str">
        <f t="shared" ref="I129:I130" si="63">IF(B129=1,CONCATENATE("=",$G$7,A129," "),CONCATENATE("~",$G$7,A129," "))</f>
        <v xml:space="preserve">~[moodle]255 </v>
      </c>
      <c r="J129" s="38"/>
    </row>
    <row r="130" spans="1:10" ht="15" customHeight="1" x14ac:dyDescent="0.35">
      <c r="A130" s="31">
        <v>510</v>
      </c>
      <c r="B130" s="16">
        <v>0</v>
      </c>
      <c r="C130" s="14"/>
      <c r="D130" s="37"/>
      <c r="E130" s="37"/>
      <c r="F130" s="37"/>
      <c r="G130" s="37"/>
      <c r="H130" s="37"/>
      <c r="I130" s="15" t="str">
        <f t="shared" si="63"/>
        <v xml:space="preserve">~[moodle]510 </v>
      </c>
      <c r="J130" s="38"/>
    </row>
    <row r="131" spans="1:10" ht="15" customHeight="1" x14ac:dyDescent="0.35">
      <c r="A131" s="31">
        <v>512</v>
      </c>
      <c r="B131" s="16">
        <v>0</v>
      </c>
      <c r="C131" s="14"/>
      <c r="D131" s="37"/>
      <c r="E131" s="37"/>
      <c r="F131" s="37"/>
      <c r="G131" s="37"/>
      <c r="H131" s="37"/>
      <c r="I131" s="15" t="str">
        <f>IF(B131=1,CONCATENATE("=",$G$7,A131,"}"),CONCATENATE("~",$G$7,A131,"}"))</f>
        <v>~[moodle]512}</v>
      </c>
      <c r="J131" s="38"/>
    </row>
    <row r="132" spans="1:10" ht="15" customHeight="1" x14ac:dyDescent="0.35">
      <c r="A132" s="32" t="s">
        <v>258</v>
      </c>
      <c r="B132" s="16"/>
      <c r="C132" s="18"/>
      <c r="D132" s="37" t="str">
        <f t="shared" ref="D132" si="64">CONCATENATE("::",$A$1,"_",$C$1,"_")</f>
        <v>::PRETEST_PRAKOM_</v>
      </c>
      <c r="E132" s="37" t="s">
        <v>232</v>
      </c>
      <c r="F132" s="37" t="s">
        <v>12</v>
      </c>
      <c r="G132" s="37" t="s">
        <v>13</v>
      </c>
      <c r="H132" s="37" t="s">
        <v>11</v>
      </c>
      <c r="I132" s="15" t="str">
        <f>CONCATENATE(D132,E132,F132,H132,A132," \:{")</f>
        <v>::PRETEST_PRAKOM_027::[html]Berikut adalah pernyataan yang kurang tepat mengenai sistem informasi … \:{</v>
      </c>
      <c r="J132" s="38" t="str">
        <f t="shared" ref="J132" si="65">CONCATENATE(I132,I133,I134,I135,I136)</f>
        <v>::PRETEST_PRAKOM_027::[html]Berikut adalah pernyataan yang kurang tepat mengenai sistem informasi … \:{=[moodle]Sistem informasi adalah informasi yang diolah menjadi bentuk yang berguna bagi para pemakainya ~[moodle]Sistem informasi mendukung operasi dan manajemen dalam suatu organisasi ~[moodle]Sistem informasi melibatkan interaksi antara manusia dengan mesin ~[moodle]Dalam pembangunan dan penerapannya, sistem informasi biasanya menggunakan computer}</v>
      </c>
    </row>
    <row r="133" spans="1:10" ht="15" customHeight="1" x14ac:dyDescent="0.35">
      <c r="A133" s="33" t="s">
        <v>259</v>
      </c>
      <c r="B133" s="16">
        <v>1</v>
      </c>
      <c r="C133" s="14"/>
      <c r="D133" s="37"/>
      <c r="E133" s="37"/>
      <c r="F133" s="37"/>
      <c r="G133" s="37"/>
      <c r="H133" s="37"/>
      <c r="I133" s="15" t="str">
        <f>IF(B133=1,CONCATENATE("=",$G$7,A133," "),CONCATENATE("~",$G$7,A133," "))</f>
        <v xml:space="preserve">=[moodle]Sistem informasi adalah informasi yang diolah menjadi bentuk yang berguna bagi para pemakainya </v>
      </c>
      <c r="J133" s="38"/>
    </row>
    <row r="134" spans="1:10" ht="15" customHeight="1" x14ac:dyDescent="0.35">
      <c r="A134" s="32" t="s">
        <v>260</v>
      </c>
      <c r="B134" s="16">
        <v>0</v>
      </c>
      <c r="C134" s="14"/>
      <c r="D134" s="37"/>
      <c r="E134" s="37"/>
      <c r="F134" s="37"/>
      <c r="G134" s="37"/>
      <c r="H134" s="37"/>
      <c r="I134" s="15" t="str">
        <f t="shared" ref="I134:I135" si="66">IF(B134=1,CONCATENATE("=",$G$7,A134," "),CONCATENATE("~",$G$7,A134," "))</f>
        <v xml:space="preserve">~[moodle]Sistem informasi mendukung operasi dan manajemen dalam suatu organisasi </v>
      </c>
      <c r="J134" s="38"/>
    </row>
    <row r="135" spans="1:10" ht="15" customHeight="1" x14ac:dyDescent="0.35">
      <c r="A135" s="32" t="s">
        <v>261</v>
      </c>
      <c r="B135" s="16">
        <v>0</v>
      </c>
      <c r="C135" s="14"/>
      <c r="D135" s="37"/>
      <c r="E135" s="37"/>
      <c r="F135" s="37"/>
      <c r="G135" s="37"/>
      <c r="H135" s="37"/>
      <c r="I135" s="15" t="str">
        <f t="shared" si="66"/>
        <v xml:space="preserve">~[moodle]Sistem informasi melibatkan interaksi antara manusia dengan mesin </v>
      </c>
      <c r="J135" s="38"/>
    </row>
    <row r="136" spans="1:10" ht="15" customHeight="1" x14ac:dyDescent="0.35">
      <c r="A136" s="34" t="s">
        <v>262</v>
      </c>
      <c r="B136" s="16">
        <v>0</v>
      </c>
      <c r="C136" s="14"/>
      <c r="D136" s="37"/>
      <c r="E136" s="37"/>
      <c r="F136" s="37"/>
      <c r="G136" s="37"/>
      <c r="H136" s="37"/>
      <c r="I136" s="15" t="str">
        <f>IF(B136=1,CONCATENATE("=",$G$7,A136,"}"),CONCATENATE("~",$G$7,A136,"}"))</f>
        <v>~[moodle]Dalam pembangunan dan penerapannya, sistem informasi biasanya menggunakan computer}</v>
      </c>
      <c r="J136" s="38"/>
    </row>
    <row r="137" spans="1:10" ht="15" customHeight="1" x14ac:dyDescent="0.35">
      <c r="A137" s="27" t="s">
        <v>263</v>
      </c>
      <c r="B137" s="16"/>
      <c r="C137" s="18"/>
      <c r="D137" s="37" t="str">
        <f t="shared" ref="D137" si="67">CONCATENATE("::",$A$1,"_",$C$1,"_")</f>
        <v>::PRETEST_PRAKOM_</v>
      </c>
      <c r="E137" s="37" t="s">
        <v>233</v>
      </c>
      <c r="F137" s="37" t="s">
        <v>12</v>
      </c>
      <c r="G137" s="37" t="s">
        <v>13</v>
      </c>
      <c r="H137" s="37" t="s">
        <v>11</v>
      </c>
      <c r="I137" s="15" t="str">
        <f>CONCATENATE(D137,E137,F137,H137,A137," \:{")</f>
        <v>::PRETEST_PRAKOM_028::[html]Berikut ini yang BUKAN merupakan bagian dari PIECES adalah  \:{</v>
      </c>
      <c r="J137" s="38" t="str">
        <f t="shared" ref="J137" si="68">CONCATENATE(I137,I138,I139,I140,I141)</f>
        <v>::PRETEST_PRAKOM_028::[html]Berikut ini yang BUKAN merupakan bagian dari PIECES adalah  \:{=[moodle]Effective ~[moodle]Control ~[moodle]Services ~[moodle]Information}</v>
      </c>
    </row>
    <row r="138" spans="1:10" ht="15" customHeight="1" x14ac:dyDescent="0.35">
      <c r="A138" s="6" t="s">
        <v>264</v>
      </c>
      <c r="B138" s="16">
        <v>1</v>
      </c>
      <c r="C138" s="14"/>
      <c r="D138" s="37"/>
      <c r="E138" s="37"/>
      <c r="F138" s="37"/>
      <c r="G138" s="37"/>
      <c r="H138" s="37"/>
      <c r="I138" s="15" t="str">
        <f>IF(B138=1,CONCATENATE("=",$G$7,A138," "),CONCATENATE("~",$G$7,A138," "))</f>
        <v xml:space="preserve">=[moodle]Effective </v>
      </c>
      <c r="J138" s="38"/>
    </row>
    <row r="139" spans="1:10" ht="15" customHeight="1" x14ac:dyDescent="0.35">
      <c r="A139" s="7" t="s">
        <v>265</v>
      </c>
      <c r="B139" s="16">
        <v>0</v>
      </c>
      <c r="C139" s="14"/>
      <c r="D139" s="37"/>
      <c r="E139" s="37"/>
      <c r="F139" s="37"/>
      <c r="G139" s="37"/>
      <c r="H139" s="37"/>
      <c r="I139" s="15" t="str">
        <f t="shared" ref="I139:I140" si="69">IF(B139=1,CONCATENATE("=",$G$7,A139," "),CONCATENATE("~",$G$7,A139," "))</f>
        <v xml:space="preserve">~[moodle]Control </v>
      </c>
      <c r="J139" s="38"/>
    </row>
    <row r="140" spans="1:10" ht="15" customHeight="1" x14ac:dyDescent="0.35">
      <c r="A140" s="7" t="s">
        <v>266</v>
      </c>
      <c r="B140" s="16">
        <v>0</v>
      </c>
      <c r="C140" s="14"/>
      <c r="D140" s="37"/>
      <c r="E140" s="37"/>
      <c r="F140" s="37"/>
      <c r="G140" s="37"/>
      <c r="H140" s="37"/>
      <c r="I140" s="15" t="str">
        <f t="shared" si="69"/>
        <v xml:space="preserve">~[moodle]Services </v>
      </c>
      <c r="J140" s="38"/>
    </row>
    <row r="141" spans="1:10" ht="15" customHeight="1" x14ac:dyDescent="0.35">
      <c r="A141" s="7" t="s">
        <v>267</v>
      </c>
      <c r="B141" s="16">
        <v>0</v>
      </c>
      <c r="C141" s="14"/>
      <c r="D141" s="37"/>
      <c r="E141" s="37"/>
      <c r="F141" s="37"/>
      <c r="G141" s="37"/>
      <c r="H141" s="37"/>
      <c r="I141" s="15" t="str">
        <f>IF(B141=1,CONCATENATE("=",$G$7,A141,"}"),CONCATENATE("~",$G$7,A141,"}"))</f>
        <v>~[moodle]Information}</v>
      </c>
      <c r="J141" s="38"/>
    </row>
    <row r="142" spans="1:10" ht="15" customHeight="1" x14ac:dyDescent="0.35">
      <c r="A142" s="27" t="s">
        <v>268</v>
      </c>
      <c r="B142" s="16"/>
      <c r="C142" s="18"/>
      <c r="D142" s="37" t="str">
        <f t="shared" ref="D142" si="70">CONCATENATE("::",$A$1,"_",$C$1,"_")</f>
        <v>::PRETEST_PRAKOM_</v>
      </c>
      <c r="E142" s="37" t="s">
        <v>234</v>
      </c>
      <c r="F142" s="37" t="s">
        <v>12</v>
      </c>
      <c r="G142" s="37" t="s">
        <v>13</v>
      </c>
      <c r="H142" s="37" t="s">
        <v>11</v>
      </c>
      <c r="I142" s="15" t="str">
        <f>CONCATENATE(D142,E142,F142,H142,A142," \:{")</f>
        <v>::PRETEST_PRAKOM_029::[html]Berikut ini yang BUKAN merupakan pedoman dalam membuat formulir input adalah …. \:{</v>
      </c>
      <c r="J142" s="38" t="str">
        <f t="shared" ref="J142" si="71">CONCATENATE(I142,I143,I144,I145,I146)</f>
        <v>::PRETEST_PRAKOM_029::[html]Berikut ini yang BUKAN merupakan pedoman dalam membuat formulir input adalah …. \:{=[moodle]Buatlah formulir yang kompleks ~[moodle]Memastikan bahwa formulir akan memenuhi tujuan yang telah dibuat ~[moodle]Membuat formulir yang akurat ~[moodle]Membuat formulir mudah diisi}</v>
      </c>
    </row>
    <row r="143" spans="1:10" ht="15" customHeight="1" x14ac:dyDescent="0.35">
      <c r="A143" s="28" t="s">
        <v>269</v>
      </c>
      <c r="B143" s="16">
        <v>1</v>
      </c>
      <c r="C143" s="14"/>
      <c r="D143" s="37"/>
      <c r="E143" s="37"/>
      <c r="F143" s="37"/>
      <c r="G143" s="37"/>
      <c r="H143" s="37"/>
      <c r="I143" s="15" t="str">
        <f>IF(B143=1,CONCATENATE("=",$G$7,A143," "),CONCATENATE("~",$G$7,A143," "))</f>
        <v xml:space="preserve">=[moodle]Buatlah formulir yang kompleks </v>
      </c>
      <c r="J143" s="38"/>
    </row>
    <row r="144" spans="1:10" ht="15" customHeight="1" x14ac:dyDescent="0.35">
      <c r="A144" s="27" t="s">
        <v>270</v>
      </c>
      <c r="B144" s="16">
        <v>0</v>
      </c>
      <c r="C144" s="14"/>
      <c r="D144" s="37"/>
      <c r="E144" s="37"/>
      <c r="F144" s="37"/>
      <c r="G144" s="37"/>
      <c r="H144" s="37"/>
      <c r="I144" s="15" t="str">
        <f t="shared" ref="I144:I145" si="72">IF(B144=1,CONCATENATE("=",$G$7,A144," "),CONCATENATE("~",$G$7,A144," "))</f>
        <v xml:space="preserve">~[moodle]Memastikan bahwa formulir akan memenuhi tujuan yang telah dibuat </v>
      </c>
      <c r="J144" s="38"/>
    </row>
    <row r="145" spans="1:10" ht="15" customHeight="1" x14ac:dyDescent="0.35">
      <c r="A145" s="27" t="s">
        <v>271</v>
      </c>
      <c r="B145" s="16">
        <v>0</v>
      </c>
      <c r="C145" s="14"/>
      <c r="D145" s="37"/>
      <c r="E145" s="37"/>
      <c r="F145" s="37"/>
      <c r="G145" s="37"/>
      <c r="H145" s="37"/>
      <c r="I145" s="15" t="str">
        <f t="shared" si="72"/>
        <v xml:space="preserve">~[moodle]Membuat formulir yang akurat </v>
      </c>
      <c r="J145" s="38"/>
    </row>
    <row r="146" spans="1:10" ht="15" customHeight="1" x14ac:dyDescent="0.35">
      <c r="A146" s="27" t="s">
        <v>272</v>
      </c>
      <c r="B146" s="16">
        <v>0</v>
      </c>
      <c r="C146" s="14"/>
      <c r="D146" s="37"/>
      <c r="E146" s="37"/>
      <c r="F146" s="37"/>
      <c r="G146" s="37"/>
      <c r="H146" s="37"/>
      <c r="I146" s="15" t="str">
        <f>IF(B146=1,CONCATENATE("=",$G$7,A146,"}"),CONCATENATE("~",$G$7,A146,"}"))</f>
        <v>~[moodle]Membuat formulir mudah diisi}</v>
      </c>
      <c r="J146" s="38"/>
    </row>
    <row r="147" spans="1:10" ht="15" customHeight="1" x14ac:dyDescent="0.35">
      <c r="A147" s="27" t="s">
        <v>273</v>
      </c>
      <c r="B147" s="16"/>
      <c r="C147" s="18"/>
      <c r="D147" s="37" t="str">
        <f t="shared" ref="D147" si="73">CONCATENATE("::",$A$1,"_",$C$1,"_")</f>
        <v>::PRETEST_PRAKOM_</v>
      </c>
      <c r="E147" s="37" t="s">
        <v>235</v>
      </c>
      <c r="F147" s="37" t="s">
        <v>12</v>
      </c>
      <c r="G147" s="37" t="s">
        <v>13</v>
      </c>
      <c r="H147" s="37" t="s">
        <v>11</v>
      </c>
      <c r="I147" s="15" t="str">
        <f>CONCATENATE(D147,E147,F147,H147,A147," \:{")</f>
        <v>::PRETEST_PRAKOM_030::[html]Tim Auditor berkewajiban memberi laporan mengenai hasil dan kinerja audit yang dilaksanakan dalam sebuah \:{</v>
      </c>
      <c r="J147" s="38" t="str">
        <f t="shared" ref="J147" si="74">CONCATENATE(I147,I148,I149,I150,I151)</f>
        <v>::PRETEST_PRAKOM_030::[html]Tim Auditor berkewajiban memberi laporan mengenai hasil dan kinerja audit yang dilaksanakan dalam sebuah \:{~[moodle]FGD =[moodle]Closing meeting ~[moodle]Kuiesioner ~[moodle]Wawancara}</v>
      </c>
    </row>
    <row r="148" spans="1:10" ht="15" customHeight="1" x14ac:dyDescent="0.35">
      <c r="A148" s="7" t="s">
        <v>241</v>
      </c>
      <c r="B148" s="16">
        <v>0</v>
      </c>
      <c r="C148" s="14"/>
      <c r="D148" s="37"/>
      <c r="E148" s="37"/>
      <c r="F148" s="37"/>
      <c r="G148" s="37"/>
      <c r="H148" s="37"/>
      <c r="I148" s="15" t="str">
        <f>IF(B148=1,CONCATENATE("=",$G$7,A148," "),CONCATENATE("~",$G$7,A148," "))</f>
        <v xml:space="preserve">~[moodle]FGD </v>
      </c>
      <c r="J148" s="38"/>
    </row>
    <row r="149" spans="1:10" ht="15" customHeight="1" x14ac:dyDescent="0.35">
      <c r="A149" s="6" t="s">
        <v>274</v>
      </c>
      <c r="B149" s="16">
        <v>1</v>
      </c>
      <c r="C149" s="14"/>
      <c r="D149" s="37"/>
      <c r="E149" s="37"/>
      <c r="F149" s="37"/>
      <c r="G149" s="37"/>
      <c r="H149" s="37"/>
      <c r="I149" s="15" t="str">
        <f t="shared" ref="I149:I150" si="75">IF(B149=1,CONCATENATE("=",$G$7,A149," "),CONCATENATE("~",$G$7,A149," "))</f>
        <v xml:space="preserve">=[moodle]Closing meeting </v>
      </c>
      <c r="J149" s="38"/>
    </row>
    <row r="150" spans="1:10" ht="15" customHeight="1" x14ac:dyDescent="0.35">
      <c r="A150" s="7" t="s">
        <v>275</v>
      </c>
      <c r="B150" s="16">
        <v>0</v>
      </c>
      <c r="C150" s="14"/>
      <c r="D150" s="37"/>
      <c r="E150" s="37"/>
      <c r="F150" s="37"/>
      <c r="G150" s="37"/>
      <c r="H150" s="37"/>
      <c r="I150" s="15" t="str">
        <f t="shared" si="75"/>
        <v xml:space="preserve">~[moodle]Kuiesioner </v>
      </c>
      <c r="J150" s="38"/>
    </row>
    <row r="151" spans="1:10" ht="15" customHeight="1" x14ac:dyDescent="0.35">
      <c r="A151" s="7" t="s">
        <v>276</v>
      </c>
      <c r="B151" s="16">
        <v>0</v>
      </c>
      <c r="C151" s="14"/>
      <c r="D151" s="37"/>
      <c r="E151" s="37"/>
      <c r="F151" s="37"/>
      <c r="G151" s="37"/>
      <c r="H151" s="37"/>
      <c r="I151" s="15" t="str">
        <f>IF(B151=1,CONCATENATE("=",$G$7,A151,"}"),CONCATENATE("~",$G$7,A151,"}"))</f>
        <v>~[moodle]Wawancara}</v>
      </c>
      <c r="J151" s="38"/>
    </row>
    <row r="152" spans="1:10" ht="15" customHeight="1" x14ac:dyDescent="0.35">
      <c r="A152" s="27" t="s">
        <v>277</v>
      </c>
      <c r="B152" s="16"/>
      <c r="C152" s="18"/>
      <c r="D152" s="37" t="str">
        <f t="shared" ref="D152" si="76">CONCATENATE("::",$A$1,"_",$C$1,"_")</f>
        <v>::PRETEST_PRAKOM_</v>
      </c>
      <c r="E152" s="37" t="s">
        <v>282</v>
      </c>
      <c r="F152" s="37" t="s">
        <v>12</v>
      </c>
      <c r="G152" s="37" t="s">
        <v>13</v>
      </c>
      <c r="H152" s="37" t="s">
        <v>11</v>
      </c>
      <c r="I152" s="15" t="str">
        <f>CONCATENATE(D152,E152,F152,H152,A152," \:{")</f>
        <v>::PRETEST_PRAKOM_031::[html]Posisi dalam Tim Audit TI yang bertugas membantu Auditor dalam pengumpulan data lapangan adalah \:{</v>
      </c>
      <c r="J152" s="38" t="str">
        <f t="shared" ref="J152" si="77">CONCATENATE(I152,I153,I154,I155,I156)</f>
        <v>::PRETEST_PRAKOM_031::[html]Posisi dalam Tim Audit TI yang bertugas membantu Auditor dalam pengumpulan data lapangan adalah \:{~[moodle]Asisten Auditor ~[moodle]Penaggungjawab =[moodle]Teknis ~[moodle]Narasumber}</v>
      </c>
    </row>
    <row r="153" spans="1:10" ht="15" customHeight="1" x14ac:dyDescent="0.35">
      <c r="A153" s="7" t="s">
        <v>278</v>
      </c>
      <c r="B153" s="16">
        <v>0</v>
      </c>
      <c r="C153" s="14"/>
      <c r="D153" s="37"/>
      <c r="E153" s="37"/>
      <c r="F153" s="37"/>
      <c r="G153" s="37"/>
      <c r="H153" s="37"/>
      <c r="I153" s="15" t="str">
        <f>IF(B153=1,CONCATENATE("=",$G$7,A153," "),CONCATENATE("~",$G$7,A153," "))</f>
        <v xml:space="preserve">~[moodle]Asisten Auditor </v>
      </c>
      <c r="J153" s="38"/>
    </row>
    <row r="154" spans="1:10" ht="15" customHeight="1" x14ac:dyDescent="0.35">
      <c r="A154" s="7" t="s">
        <v>279</v>
      </c>
      <c r="B154" s="16">
        <v>0</v>
      </c>
      <c r="C154" s="14"/>
      <c r="D154" s="37"/>
      <c r="E154" s="37"/>
      <c r="F154" s="37"/>
      <c r="G154" s="37"/>
      <c r="H154" s="37"/>
      <c r="I154" s="15" t="str">
        <f t="shared" ref="I154:I155" si="78">IF(B154=1,CONCATENATE("=",$G$7,A154," "),CONCATENATE("~",$G$7,A154," "))</f>
        <v xml:space="preserve">~[moodle]Penaggungjawab </v>
      </c>
      <c r="J154" s="38"/>
    </row>
    <row r="155" spans="1:10" ht="15" customHeight="1" x14ac:dyDescent="0.35">
      <c r="A155" s="6" t="s">
        <v>280</v>
      </c>
      <c r="B155" s="16">
        <v>1</v>
      </c>
      <c r="C155" s="14"/>
      <c r="D155" s="37"/>
      <c r="E155" s="37"/>
      <c r="F155" s="37"/>
      <c r="G155" s="37"/>
      <c r="H155" s="37"/>
      <c r="I155" s="15" t="str">
        <f t="shared" si="78"/>
        <v xml:space="preserve">=[moodle]Teknis </v>
      </c>
      <c r="J155" s="38"/>
    </row>
    <row r="156" spans="1:10" ht="15" customHeight="1" x14ac:dyDescent="0.35">
      <c r="A156" s="7" t="s">
        <v>281</v>
      </c>
      <c r="B156" s="16">
        <v>0</v>
      </c>
      <c r="C156" s="14"/>
      <c r="D156" s="37"/>
      <c r="E156" s="37"/>
      <c r="F156" s="37"/>
      <c r="G156" s="37"/>
      <c r="H156" s="37"/>
      <c r="I156" s="15" t="str">
        <f>IF(B156=1,CONCATENATE("=",$G$7,A156,"}"),CONCATENATE("~",$G$7,A156,"}"))</f>
        <v>~[moodle]Narasumber}</v>
      </c>
      <c r="J156" s="38"/>
    </row>
    <row r="157" spans="1:10" ht="15" customHeight="1" x14ac:dyDescent="0.35">
      <c r="A157" s="27" t="s">
        <v>291</v>
      </c>
      <c r="B157" s="16"/>
      <c r="C157" s="18"/>
      <c r="D157" s="37" t="str">
        <f t="shared" ref="D157" si="79">CONCATENATE("::",$A$1,"_",$C$1,"_")</f>
        <v>::PRETEST_PRAKOM_</v>
      </c>
      <c r="E157" s="37" t="s">
        <v>283</v>
      </c>
      <c r="F157" s="37" t="s">
        <v>12</v>
      </c>
      <c r="G157" s="37" t="s">
        <v>13</v>
      </c>
      <c r="H157" s="37" t="s">
        <v>11</v>
      </c>
      <c r="I157" s="15" t="str">
        <f>CONCATENATE(D157,E157,F157,H157,A157," \:{")</f>
        <v>::PRETEST_PRAKOM_032::[html]Dalam menggunakan pendekatan dan metode Audit TI, auditor perlu memperhatikan  \:{</v>
      </c>
      <c r="J157" s="38" t="str">
        <f t="shared" ref="J157" si="80">CONCATENATE(I157,I158,I159,I160,I161)</f>
        <v>::PRETEST_PRAKOM_032::[html]Dalam menggunakan pendekatan dan metode Audit TI, auditor perlu memperhatikan  \:{~[moodle]Bukti-bukti audit ~[moodle]Manfaat audit TI ~[moodle]fase pre-implementation dan post-implementation =[moodle]kesesuaian dengan peraturan perundang-undangan, kode etik, dan standar profesi yang berlaku}</v>
      </c>
    </row>
    <row r="158" spans="1:10" ht="15" customHeight="1" x14ac:dyDescent="0.35">
      <c r="A158" s="7" t="s">
        <v>292</v>
      </c>
      <c r="B158" s="16">
        <v>0</v>
      </c>
      <c r="C158" s="14"/>
      <c r="D158" s="37"/>
      <c r="E158" s="37"/>
      <c r="F158" s="37"/>
      <c r="G158" s="37"/>
      <c r="H158" s="37"/>
      <c r="I158" s="15" t="str">
        <f>IF(B158=1,CONCATENATE("=",$G$7,A158," "),CONCATENATE("~",$G$7,A158," "))</f>
        <v xml:space="preserve">~[moodle]Bukti-bukti audit </v>
      </c>
      <c r="J158" s="38"/>
    </row>
    <row r="159" spans="1:10" ht="15" customHeight="1" x14ac:dyDescent="0.35">
      <c r="A159" s="7" t="s">
        <v>293</v>
      </c>
      <c r="B159" s="16">
        <v>0</v>
      </c>
      <c r="C159" s="14"/>
      <c r="D159" s="37"/>
      <c r="E159" s="37"/>
      <c r="F159" s="37"/>
      <c r="G159" s="37"/>
      <c r="H159" s="37"/>
      <c r="I159" s="15" t="str">
        <f t="shared" ref="I159:I160" si="81">IF(B159=1,CONCATENATE("=",$G$7,A159," "),CONCATENATE("~",$G$7,A159," "))</f>
        <v xml:space="preserve">~[moodle]Manfaat audit TI </v>
      </c>
      <c r="J159" s="38"/>
    </row>
    <row r="160" spans="1:10" ht="15" customHeight="1" x14ac:dyDescent="0.35">
      <c r="A160" s="27" t="s">
        <v>294</v>
      </c>
      <c r="B160" s="16">
        <v>0</v>
      </c>
      <c r="C160" s="14"/>
      <c r="D160" s="37"/>
      <c r="E160" s="37"/>
      <c r="F160" s="37"/>
      <c r="G160" s="37"/>
      <c r="H160" s="37"/>
      <c r="I160" s="15" t="str">
        <f t="shared" si="81"/>
        <v xml:space="preserve">~[moodle]fase pre-implementation dan post-implementation </v>
      </c>
      <c r="J160" s="38"/>
    </row>
    <row r="161" spans="1:10" ht="15" customHeight="1" x14ac:dyDescent="0.35">
      <c r="A161" s="28" t="s">
        <v>295</v>
      </c>
      <c r="B161" s="16">
        <v>1</v>
      </c>
      <c r="C161" s="14"/>
      <c r="D161" s="37"/>
      <c r="E161" s="37"/>
      <c r="F161" s="37"/>
      <c r="G161" s="37"/>
      <c r="H161" s="37"/>
      <c r="I161" s="15" t="str">
        <f>IF(B161=1,CONCATENATE("=",$G$7,A161,"}"),CONCATENATE("~",$G$7,A161,"}"))</f>
        <v>=[moodle]kesesuaian dengan peraturan perundang-undangan, kode etik, dan standar profesi yang berlaku}</v>
      </c>
      <c r="J161" s="38"/>
    </row>
    <row r="162" spans="1:10" ht="15" customHeight="1" x14ac:dyDescent="0.35">
      <c r="A162" s="35" t="s">
        <v>296</v>
      </c>
      <c r="B162" s="16"/>
      <c r="C162" s="18"/>
      <c r="D162" s="37" t="str">
        <f t="shared" ref="D162" si="82">CONCATENATE("::",$A$1,"_",$C$1,"_")</f>
        <v>::PRETEST_PRAKOM_</v>
      </c>
      <c r="E162" s="37" t="s">
        <v>284</v>
      </c>
      <c r="F162" s="37" t="s">
        <v>12</v>
      </c>
      <c r="G162" s="37" t="s">
        <v>13</v>
      </c>
      <c r="H162" s="37" t="s">
        <v>11</v>
      </c>
      <c r="I162" s="15" t="str">
        <f>CONCATENATE(D162,E162,F162,H162,A162," \:{")</f>
        <v>::PRETEST_PRAKOM_033::[html]Proses manajemen data adalah merancang bagaimana mengelola data sehingga menghasilkan manfaat besar untuk institusi adalah \:{</v>
      </c>
      <c r="J162" s="38" t="str">
        <f t="shared" ref="J162" si="83">CONCATENATE(I162,I163,I164,I165,I166)</f>
        <v>::PRETEST_PRAKOM_033::[html]Proses manajemen data adalah merancang bagaimana mengelola data sehingga menghasilkan manfaat besar untuk institusi adalah \:{=[moodle]Penghematan biaya ~[moodle]Kapasitas penyimpanan yang besar ~[moodle]All eggs in one basket ~[moodle]Kerumitan dalam mengakses data}</v>
      </c>
    </row>
    <row r="163" spans="1:10" ht="15" customHeight="1" x14ac:dyDescent="0.35">
      <c r="A163" s="6" t="s">
        <v>297</v>
      </c>
      <c r="B163" s="16">
        <v>1</v>
      </c>
      <c r="C163" s="14"/>
      <c r="D163" s="37"/>
      <c r="E163" s="37"/>
      <c r="F163" s="37"/>
      <c r="G163" s="37"/>
      <c r="H163" s="37"/>
      <c r="I163" s="15" t="str">
        <f>IF(B163=1,CONCATENATE("=",$G$7,A163," "),CONCATENATE("~",$G$7,A163," "))</f>
        <v xml:space="preserve">=[moodle]Penghematan biaya </v>
      </c>
      <c r="J163" s="38"/>
    </row>
    <row r="164" spans="1:10" ht="15" customHeight="1" x14ac:dyDescent="0.35">
      <c r="A164" s="7" t="s">
        <v>298</v>
      </c>
      <c r="B164" s="16">
        <v>0</v>
      </c>
      <c r="C164" s="14"/>
      <c r="D164" s="37"/>
      <c r="E164" s="37"/>
      <c r="F164" s="37"/>
      <c r="G164" s="37"/>
      <c r="H164" s="37"/>
      <c r="I164" s="15" t="str">
        <f t="shared" ref="I164:I165" si="84">IF(B164=1,CONCATENATE("=",$G$7,A164," "),CONCATENATE("~",$G$7,A164," "))</f>
        <v xml:space="preserve">~[moodle]Kapasitas penyimpanan yang besar </v>
      </c>
      <c r="J164" s="38"/>
    </row>
    <row r="165" spans="1:10" ht="15" customHeight="1" x14ac:dyDescent="0.35">
      <c r="A165" s="7" t="s">
        <v>299</v>
      </c>
      <c r="B165" s="16">
        <v>0</v>
      </c>
      <c r="C165" s="14"/>
      <c r="D165" s="37"/>
      <c r="E165" s="37"/>
      <c r="F165" s="37"/>
      <c r="G165" s="37"/>
      <c r="H165" s="37"/>
      <c r="I165" s="15" t="str">
        <f t="shared" si="84"/>
        <v xml:space="preserve">~[moodle]All eggs in one basket </v>
      </c>
      <c r="J165" s="38"/>
    </row>
    <row r="166" spans="1:10" ht="15" customHeight="1" x14ac:dyDescent="0.35">
      <c r="A166" s="35" t="s">
        <v>300</v>
      </c>
      <c r="B166" s="16">
        <v>0</v>
      </c>
      <c r="C166" s="14"/>
      <c r="D166" s="37"/>
      <c r="E166" s="37"/>
      <c r="F166" s="37"/>
      <c r="G166" s="37"/>
      <c r="H166" s="37"/>
      <c r="I166" s="15" t="str">
        <f>IF(B166=1,CONCATENATE("=",$G$7,A166,"}"),CONCATENATE("~",$G$7,A166,"}"))</f>
        <v>~[moodle]Kerumitan dalam mengakses data}</v>
      </c>
      <c r="J166" s="38"/>
    </row>
    <row r="167" spans="1:10" ht="15" customHeight="1" x14ac:dyDescent="0.35">
      <c r="A167" s="35" t="s">
        <v>301</v>
      </c>
      <c r="B167" s="16"/>
      <c r="C167" s="18"/>
      <c r="D167" s="37" t="str">
        <f t="shared" ref="D167" si="85">CONCATENATE("::",$A$1,"_",$C$1,"_")</f>
        <v>::PRETEST_PRAKOM_</v>
      </c>
      <c r="E167" s="37" t="s">
        <v>285</v>
      </c>
      <c r="F167" s="37" t="s">
        <v>12</v>
      </c>
      <c r="G167" s="37" t="s">
        <v>13</v>
      </c>
      <c r="H167" s="37" t="s">
        <v>11</v>
      </c>
      <c r="I167" s="15" t="str">
        <f>CONCATENATE(D167,E167,F167,H167,A167," \:{")</f>
        <v>::PRETEST_PRAKOM_034::[html]Peran apa yang merupakan tanggungjawab seorang ilmuwan data? \:{</v>
      </c>
      <c r="J167" s="38" t="str">
        <f t="shared" ref="J167" si="86">CONCATENATE(I167,I168,I169,I170,I171)</f>
        <v>::PRETEST_PRAKOM_034::[html]Peran apa yang merupakan tanggungjawab seorang ilmuwan data? \:{=[moodle]Permodelan data ~[moodle]Administrasi database ~[moodle]Arsitektur data ~[moodle]Keamanan data}</v>
      </c>
    </row>
    <row r="168" spans="1:10" ht="15" customHeight="1" x14ac:dyDescent="0.35">
      <c r="A168" s="6" t="s">
        <v>302</v>
      </c>
      <c r="B168" s="16">
        <v>1</v>
      </c>
      <c r="C168" s="14"/>
      <c r="D168" s="37"/>
      <c r="E168" s="37"/>
      <c r="F168" s="37"/>
      <c r="G168" s="37"/>
      <c r="H168" s="37"/>
      <c r="I168" s="15" t="str">
        <f>IF(B168=1,CONCATENATE("=",$G$7,A168," "),CONCATENATE("~",$G$7,A168," "))</f>
        <v xml:space="preserve">=[moodle]Permodelan data </v>
      </c>
      <c r="J168" s="38"/>
    </row>
    <row r="169" spans="1:10" ht="15" customHeight="1" x14ac:dyDescent="0.35">
      <c r="A169" s="7" t="s">
        <v>303</v>
      </c>
      <c r="B169" s="16">
        <v>0</v>
      </c>
      <c r="C169" s="14"/>
      <c r="D169" s="37"/>
      <c r="E169" s="37"/>
      <c r="F169" s="37"/>
      <c r="G169" s="37"/>
      <c r="H169" s="37"/>
      <c r="I169" s="15" t="str">
        <f t="shared" ref="I169:I170" si="87">IF(B169=1,CONCATENATE("=",$G$7,A169," "),CONCATENATE("~",$G$7,A169," "))</f>
        <v xml:space="preserve">~[moodle]Administrasi database </v>
      </c>
      <c r="J169" s="38"/>
    </row>
    <row r="170" spans="1:10" ht="15" customHeight="1" x14ac:dyDescent="0.35">
      <c r="A170" s="7" t="s">
        <v>304</v>
      </c>
      <c r="B170" s="16">
        <v>0</v>
      </c>
      <c r="C170" s="14"/>
      <c r="D170" s="37"/>
      <c r="E170" s="37"/>
      <c r="F170" s="37"/>
      <c r="G170" s="37"/>
      <c r="H170" s="37"/>
      <c r="I170" s="15" t="str">
        <f t="shared" si="87"/>
        <v xml:space="preserve">~[moodle]Arsitektur data </v>
      </c>
      <c r="J170" s="38"/>
    </row>
    <row r="171" spans="1:10" ht="15" customHeight="1" x14ac:dyDescent="0.35">
      <c r="A171" s="7" t="s">
        <v>305</v>
      </c>
      <c r="B171" s="16">
        <v>0</v>
      </c>
      <c r="C171" s="14"/>
      <c r="D171" s="37"/>
      <c r="E171" s="37"/>
      <c r="F171" s="37"/>
      <c r="G171" s="37"/>
      <c r="H171" s="37"/>
      <c r="I171" s="15" t="str">
        <f>IF(B171=1,CONCATENATE("=",$G$7,A171,"}"),CONCATENATE("~",$G$7,A171,"}"))</f>
        <v>~[moodle]Keamanan data}</v>
      </c>
      <c r="J171" s="38"/>
    </row>
    <row r="172" spans="1:10" ht="15" customHeight="1" x14ac:dyDescent="0.35">
      <c r="A172" s="35" t="s">
        <v>306</v>
      </c>
      <c r="B172" s="16"/>
      <c r="C172" s="18"/>
      <c r="D172" s="37" t="str">
        <f t="shared" ref="D172" si="88">CONCATENATE("::",$A$1,"_",$C$1,"_")</f>
        <v>::PRETEST_PRAKOM_</v>
      </c>
      <c r="E172" s="37" t="s">
        <v>286</v>
      </c>
      <c r="F172" s="37" t="s">
        <v>12</v>
      </c>
      <c r="G172" s="37" t="s">
        <v>13</v>
      </c>
      <c r="H172" s="37" t="s">
        <v>11</v>
      </c>
      <c r="I172" s="15" t="str">
        <f>CONCATENATE(D172,E172,F172,H172,A172," \:{")</f>
        <v>::PRETEST_PRAKOM_035::[html]Panduan pengelolaan data yang dijadikan acuan internasional adalah.. \:{</v>
      </c>
      <c r="J172" s="38" t="str">
        <f t="shared" ref="J172" si="89">CONCATENATE(I172,I173,I174,I175,I176)</f>
        <v>::PRETEST_PRAKOM_035::[html]Panduan pengelolaan data yang dijadikan acuan internasional adalah.. \:{=[moodle]DMBOK ~[moodle]PMBOK ~[moodle]TOGAF ~[moodle]COBIT}</v>
      </c>
    </row>
    <row r="173" spans="1:10" ht="15" customHeight="1" x14ac:dyDescent="0.35">
      <c r="A173" s="6" t="s">
        <v>307</v>
      </c>
      <c r="B173" s="16">
        <v>1</v>
      </c>
      <c r="C173" s="14"/>
      <c r="D173" s="37"/>
      <c r="E173" s="37"/>
      <c r="F173" s="37"/>
      <c r="G173" s="37"/>
      <c r="H173" s="37"/>
      <c r="I173" s="15" t="str">
        <f>IF(B173=1,CONCATENATE("=",$G$7,A173," "),CONCATENATE("~",$G$7,A173," "))</f>
        <v xml:space="preserve">=[moodle]DMBOK </v>
      </c>
      <c r="J173" s="38"/>
    </row>
    <row r="174" spans="1:10" ht="15" customHeight="1" x14ac:dyDescent="0.35">
      <c r="A174" s="7" t="s">
        <v>308</v>
      </c>
      <c r="B174" s="16">
        <v>0</v>
      </c>
      <c r="C174" s="14"/>
      <c r="D174" s="37"/>
      <c r="E174" s="37"/>
      <c r="F174" s="37"/>
      <c r="G174" s="37"/>
      <c r="H174" s="37"/>
      <c r="I174" s="15" t="str">
        <f t="shared" ref="I174:I175" si="90">IF(B174=1,CONCATENATE("=",$G$7,A174," "),CONCATENATE("~",$G$7,A174," "))</f>
        <v xml:space="preserve">~[moodle]PMBOK </v>
      </c>
      <c r="J174" s="38"/>
    </row>
    <row r="175" spans="1:10" ht="15" customHeight="1" x14ac:dyDescent="0.35">
      <c r="A175" s="7" t="s">
        <v>309</v>
      </c>
      <c r="B175" s="16">
        <v>0</v>
      </c>
      <c r="C175" s="14"/>
      <c r="D175" s="37"/>
      <c r="E175" s="37"/>
      <c r="F175" s="37"/>
      <c r="G175" s="37"/>
      <c r="H175" s="37"/>
      <c r="I175" s="15" t="str">
        <f t="shared" si="90"/>
        <v xml:space="preserve">~[moodle]TOGAF </v>
      </c>
      <c r="J175" s="38"/>
    </row>
    <row r="176" spans="1:10" ht="15" customHeight="1" x14ac:dyDescent="0.35">
      <c r="A176" s="7" t="s">
        <v>310</v>
      </c>
      <c r="B176" s="16">
        <v>0</v>
      </c>
      <c r="C176" s="14"/>
      <c r="D176" s="37"/>
      <c r="E176" s="37"/>
      <c r="F176" s="37"/>
      <c r="G176" s="37"/>
      <c r="H176" s="37"/>
      <c r="I176" s="15" t="str">
        <f>IF(B176=1,CONCATENATE("=",$G$7,A176,"}"),CONCATENATE("~",$G$7,A176,"}"))</f>
        <v>~[moodle]COBIT}</v>
      </c>
      <c r="J176" s="38"/>
    </row>
    <row r="177" spans="1:10" ht="15" customHeight="1" x14ac:dyDescent="0.35">
      <c r="A177" s="35" t="s">
        <v>311</v>
      </c>
      <c r="B177" s="16"/>
      <c r="C177" s="18"/>
      <c r="D177" s="37" t="str">
        <f t="shared" ref="D177" si="91">CONCATENATE("::",$A$1,"_",$C$1,"_")</f>
        <v>::PRETEST_PRAKOM_</v>
      </c>
      <c r="E177" s="37" t="s">
        <v>287</v>
      </c>
      <c r="F177" s="37" t="s">
        <v>12</v>
      </c>
      <c r="G177" s="37" t="s">
        <v>13</v>
      </c>
      <c r="H177" s="37" t="s">
        <v>11</v>
      </c>
      <c r="I177" s="15" t="str">
        <f>CONCATENATE(D177,E177,F177,H177,A177," \:{")</f>
        <v>::PRETEST_PRAKOM_036::[html]Apa yang dimaksud dengan retensi data? \:{</v>
      </c>
      <c r="J177" s="38" t="str">
        <f t="shared" ref="J177" si="92">CONCATENATE(I177,I178,I179,I180,I181)</f>
        <v>::PRETEST_PRAKOM_036::[html]Apa yang dimaksud dengan retensi data? \:{=[moodle]Berapa lama data tetap tersedia pada media penyimpanan ~[moodle]Seberapa toleran suatu sistem terhadap kondisi kesalahan atau kegagalan ~[moodle]Seberapa efektif sistem dapat menolak hal yang seharusnya tidak ada di dalam system ~[moodle]Proses menghapus secara keseluruhan dan tidak bisa dikembalikan ulang}</v>
      </c>
    </row>
    <row r="178" spans="1:10" ht="15" customHeight="1" x14ac:dyDescent="0.35">
      <c r="A178" s="36" t="s">
        <v>312</v>
      </c>
      <c r="B178" s="16">
        <v>1</v>
      </c>
      <c r="C178" s="14"/>
      <c r="D178" s="37"/>
      <c r="E178" s="37"/>
      <c r="F178" s="37"/>
      <c r="G178" s="37"/>
      <c r="H178" s="37"/>
      <c r="I178" s="15" t="str">
        <f>IF(B178=1,CONCATENATE("=",$G$7,A178," "),CONCATENATE("~",$G$7,A178," "))</f>
        <v xml:space="preserve">=[moodle]Berapa lama data tetap tersedia pada media penyimpanan </v>
      </c>
      <c r="J178" s="38"/>
    </row>
    <row r="179" spans="1:10" ht="15" customHeight="1" x14ac:dyDescent="0.35">
      <c r="A179" s="35" t="s">
        <v>313</v>
      </c>
      <c r="B179" s="16">
        <v>0</v>
      </c>
      <c r="C179" s="14"/>
      <c r="D179" s="37"/>
      <c r="E179" s="37"/>
      <c r="F179" s="37"/>
      <c r="G179" s="37"/>
      <c r="H179" s="37"/>
      <c r="I179" s="15" t="str">
        <f t="shared" ref="I179:I180" si="93">IF(B179=1,CONCATENATE("=",$G$7,A179," "),CONCATENATE("~",$G$7,A179," "))</f>
        <v xml:space="preserve">~[moodle]Seberapa toleran suatu sistem terhadap kondisi kesalahan atau kegagalan </v>
      </c>
      <c r="J179" s="38"/>
    </row>
    <row r="180" spans="1:10" ht="15" customHeight="1" x14ac:dyDescent="0.35">
      <c r="A180" s="35" t="s">
        <v>314</v>
      </c>
      <c r="B180" s="16">
        <v>0</v>
      </c>
      <c r="C180" s="14"/>
      <c r="D180" s="37"/>
      <c r="E180" s="37"/>
      <c r="F180" s="37"/>
      <c r="G180" s="37"/>
      <c r="H180" s="37"/>
      <c r="I180" s="15" t="str">
        <f t="shared" si="93"/>
        <v xml:space="preserve">~[moodle]Seberapa efektif sistem dapat menolak hal yang seharusnya tidak ada di dalam system </v>
      </c>
      <c r="J180" s="38"/>
    </row>
    <row r="181" spans="1:10" ht="15" customHeight="1" x14ac:dyDescent="0.35">
      <c r="A181" s="35" t="s">
        <v>315</v>
      </c>
      <c r="B181" s="16">
        <v>0</v>
      </c>
      <c r="C181" s="14"/>
      <c r="D181" s="37"/>
      <c r="E181" s="37"/>
      <c r="F181" s="37"/>
      <c r="G181" s="37"/>
      <c r="H181" s="37"/>
      <c r="I181" s="15" t="str">
        <f>IF(B181=1,CONCATENATE("=",$G$7,A181,"}"),CONCATENATE("~",$G$7,A181,"}"))</f>
        <v>~[moodle]Proses menghapus secara keseluruhan dan tidak bisa dikembalikan ulang}</v>
      </c>
      <c r="J181" s="38"/>
    </row>
    <row r="182" spans="1:10" ht="15" customHeight="1" x14ac:dyDescent="0.35">
      <c r="A182" s="35" t="s">
        <v>316</v>
      </c>
      <c r="B182" s="16"/>
      <c r="C182" s="18"/>
      <c r="D182" s="37" t="str">
        <f t="shared" ref="D182" si="94">CONCATENATE("::",$A$1,"_",$C$1,"_")</f>
        <v>::PRETEST_PRAKOM_</v>
      </c>
      <c r="E182" s="37" t="s">
        <v>288</v>
      </c>
      <c r="F182" s="37" t="s">
        <v>12</v>
      </c>
      <c r="G182" s="37" t="s">
        <v>13</v>
      </c>
      <c r="H182" s="37" t="s">
        <v>11</v>
      </c>
      <c r="I182" s="15" t="str">
        <f>CONCATENATE(D182,E182,F182,H182,A182," \:{")</f>
        <v>::PRETEST_PRAKOM_037::[html]Mana yang merupakan langkah terakhir dari siklus hidup data \:{</v>
      </c>
      <c r="J182" s="38" t="str">
        <f t="shared" ref="J182" si="95">CONCATENATE(I182,I183,I184,I185,I186)</f>
        <v>::PRETEST_PRAKOM_037::[html]Mana yang merupakan langkah terakhir dari siklus hidup data \:{=[moodle]Pemusnahan ~[moodle]Penyimpanan ~[moodle]Penggunaan ~[moodle]Peningkatan}</v>
      </c>
    </row>
    <row r="183" spans="1:10" ht="15" customHeight="1" x14ac:dyDescent="0.35">
      <c r="A183" s="6" t="s">
        <v>317</v>
      </c>
      <c r="B183" s="16">
        <v>1</v>
      </c>
      <c r="C183" s="14"/>
      <c r="D183" s="37"/>
      <c r="E183" s="37"/>
      <c r="F183" s="37"/>
      <c r="G183" s="37"/>
      <c r="H183" s="37"/>
      <c r="I183" s="15" t="str">
        <f>IF(B183=1,CONCATENATE("=",$G$7,A183," "),CONCATENATE("~",$G$7,A183," "))</f>
        <v xml:space="preserve">=[moodle]Pemusnahan </v>
      </c>
      <c r="J183" s="38"/>
    </row>
    <row r="184" spans="1:10" ht="15" customHeight="1" x14ac:dyDescent="0.35">
      <c r="A184" s="7" t="s">
        <v>318</v>
      </c>
      <c r="B184" s="16">
        <v>0</v>
      </c>
      <c r="C184" s="14"/>
      <c r="D184" s="37"/>
      <c r="E184" s="37"/>
      <c r="F184" s="37"/>
      <c r="G184" s="37"/>
      <c r="H184" s="37"/>
      <c r="I184" s="15" t="str">
        <f t="shared" ref="I184:I185" si="96">IF(B184=1,CONCATENATE("=",$G$7,A184," "),CONCATENATE("~",$G$7,A184," "))</f>
        <v xml:space="preserve">~[moodle]Penyimpanan </v>
      </c>
      <c r="J184" s="38"/>
    </row>
    <row r="185" spans="1:10" ht="15" customHeight="1" x14ac:dyDescent="0.35">
      <c r="A185" s="7" t="s">
        <v>319</v>
      </c>
      <c r="B185" s="16">
        <v>0</v>
      </c>
      <c r="C185" s="14"/>
      <c r="D185" s="37"/>
      <c r="E185" s="37"/>
      <c r="F185" s="37"/>
      <c r="G185" s="37"/>
      <c r="H185" s="37"/>
      <c r="I185" s="15" t="str">
        <f t="shared" si="96"/>
        <v xml:space="preserve">~[moodle]Penggunaan </v>
      </c>
      <c r="J185" s="38"/>
    </row>
    <row r="186" spans="1:10" ht="15" customHeight="1" x14ac:dyDescent="0.35">
      <c r="A186" s="7" t="s">
        <v>320</v>
      </c>
      <c r="B186" s="16">
        <v>0</v>
      </c>
      <c r="C186" s="14"/>
      <c r="D186" s="37"/>
      <c r="E186" s="37"/>
      <c r="F186" s="37"/>
      <c r="G186" s="37"/>
      <c r="H186" s="37"/>
      <c r="I186" s="15" t="str">
        <f>IF(B186=1,CONCATENATE("=",$G$7,A186,"}"),CONCATENATE("~",$G$7,A186,"}"))</f>
        <v>~[moodle]Peningkatan}</v>
      </c>
      <c r="J186" s="38"/>
    </row>
    <row r="187" spans="1:10" ht="15" customHeight="1" x14ac:dyDescent="0.35">
      <c r="A187" s="7" t="s">
        <v>321</v>
      </c>
      <c r="B187" s="16"/>
      <c r="C187" s="18"/>
      <c r="D187" s="37" t="str">
        <f t="shared" ref="D187" si="97">CONCATENATE("::",$A$1,"_",$C$1,"_")</f>
        <v>::PRETEST_PRAKOM_</v>
      </c>
      <c r="E187" s="37" t="s">
        <v>289</v>
      </c>
      <c r="F187" s="37" t="s">
        <v>12</v>
      </c>
      <c r="G187" s="37" t="s">
        <v>13</v>
      </c>
      <c r="H187" s="37" t="s">
        <v>11</v>
      </c>
      <c r="I187" s="15" t="str">
        <f>CONCATENATE(D187,E187,F187,H187,A187," \:{")</f>
        <v>::PRETEST_PRAKOM_038::[html]Pranata Komputer wajib menyusun SKP berdasarkan penetapan target kinerja unit kerja yang bersangkutan pada awal tahun merupakan isi dari peraturan apa? \:{</v>
      </c>
      <c r="J187" s="38" t="str">
        <f t="shared" ref="J187" si="98">CONCATENATE(I187,I188,I189,I190,I191)</f>
        <v>::PRETEST_PRAKOM_038::[html]Pranata Komputer wajib menyusun SKP berdasarkan penetapan target kinerja unit kerja yang bersangkutan pada awal tahun merupakan isi dari peraturan apa? \:{~[moodle]Permenpan RB 2 tahun 2021 =[moodle]Permenpan RB 32 tahun 2020 ~[moodle]Perban 2 tahun 2021 ~[moodle]Perban 32 tahun 2020}</v>
      </c>
    </row>
    <row r="188" spans="1:10" ht="15" customHeight="1" x14ac:dyDescent="0.35">
      <c r="A188" s="7" t="s">
        <v>322</v>
      </c>
      <c r="B188" s="16">
        <v>0</v>
      </c>
      <c r="C188" s="14"/>
      <c r="D188" s="37"/>
      <c r="E188" s="37"/>
      <c r="F188" s="37"/>
      <c r="G188" s="37"/>
      <c r="H188" s="37"/>
      <c r="I188" s="15" t="str">
        <f>IF(B188=1,CONCATENATE("=",$G$7,A188," "),CONCATENATE("~",$G$7,A188," "))</f>
        <v xml:space="preserve">~[moodle]Permenpan RB 2 tahun 2021 </v>
      </c>
      <c r="J188" s="38"/>
    </row>
    <row r="189" spans="1:10" ht="15" customHeight="1" x14ac:dyDescent="0.35">
      <c r="A189" s="6" t="s">
        <v>323</v>
      </c>
      <c r="B189" s="16">
        <v>1</v>
      </c>
      <c r="C189" s="14"/>
      <c r="D189" s="37"/>
      <c r="E189" s="37"/>
      <c r="F189" s="37"/>
      <c r="G189" s="37"/>
      <c r="H189" s="37"/>
      <c r="I189" s="15" t="str">
        <f t="shared" ref="I189:I190" si="99">IF(B189=1,CONCATENATE("=",$G$7,A189," "),CONCATENATE("~",$G$7,A189," "))</f>
        <v xml:space="preserve">=[moodle]Permenpan RB 32 tahun 2020 </v>
      </c>
      <c r="J189" s="38"/>
    </row>
    <row r="190" spans="1:10" ht="15" customHeight="1" x14ac:dyDescent="0.35">
      <c r="A190" s="7" t="s">
        <v>324</v>
      </c>
      <c r="B190" s="16">
        <v>0</v>
      </c>
      <c r="C190" s="14"/>
      <c r="D190" s="37"/>
      <c r="E190" s="37"/>
      <c r="F190" s="37"/>
      <c r="G190" s="37"/>
      <c r="H190" s="37"/>
      <c r="I190" s="15" t="str">
        <f t="shared" si="99"/>
        <v xml:space="preserve">~[moodle]Perban 2 tahun 2021 </v>
      </c>
      <c r="J190" s="38"/>
    </row>
    <row r="191" spans="1:10" ht="15" customHeight="1" x14ac:dyDescent="0.35">
      <c r="A191" s="19" t="s">
        <v>325</v>
      </c>
      <c r="B191" s="16">
        <v>0</v>
      </c>
      <c r="C191" s="14"/>
      <c r="D191" s="37"/>
      <c r="E191" s="37"/>
      <c r="F191" s="37"/>
      <c r="G191" s="37"/>
      <c r="H191" s="37"/>
      <c r="I191" s="15" t="str">
        <f>IF(B191=1,CONCATENATE("=",$G$7,A191,"}"),CONCATENATE("~",$G$7,A191,"}"))</f>
        <v>~[moodle]Perban 32 tahun 2020}</v>
      </c>
      <c r="J191" s="38"/>
    </row>
    <row r="192" spans="1:10" ht="15" customHeight="1" x14ac:dyDescent="0.35">
      <c r="A192" s="11" t="s">
        <v>326</v>
      </c>
      <c r="B192" s="16"/>
      <c r="C192" s="18"/>
      <c r="D192" s="37" t="str">
        <f t="shared" ref="D192" si="100">CONCATENATE("::",$A$1,"_",$C$1,"_")</f>
        <v>::PRETEST_PRAKOM_</v>
      </c>
      <c r="E192" s="37" t="s">
        <v>290</v>
      </c>
      <c r="F192" s="37" t="s">
        <v>12</v>
      </c>
      <c r="G192" s="37" t="s">
        <v>13</v>
      </c>
      <c r="H192" s="37" t="s">
        <v>11</v>
      </c>
      <c r="I192" s="15" t="str">
        <f>CONCATENATE(D192,E192,F192,H192,A192," \:{")</f>
        <v>::PRETEST_PRAKOM_039::[html]Pada Permenpan RB No.8 tahun 2021 disebutkan bahwa \:{</v>
      </c>
      <c r="J192" s="38" t="str">
        <f t="shared" ref="J192" si="101">CONCATENATE(I192,I193,I194,I195,I196)</f>
        <v>::PRETEST_PRAKOM_039::[html]Pada Permenpan RB No.8 tahun 2021 disebutkan bahwa \:{~[moodle]Semua pegawai membuat format SKP yang sama ~[moodle]Isian SKP berupa Kegiatan Tugas Jabatan (KTJ) atau Aktivitas atau kegiatan ~[moodle]Tidak ada lampiran reviu SKP =[moodle]Ada Indikator Kinerja Individu (IKI)}</v>
      </c>
    </row>
    <row r="193" spans="1:10" ht="15" customHeight="1" x14ac:dyDescent="0.35">
      <c r="A193" s="7" t="s">
        <v>327</v>
      </c>
      <c r="B193" s="16">
        <v>0</v>
      </c>
      <c r="C193" s="14"/>
      <c r="D193" s="37"/>
      <c r="E193" s="37"/>
      <c r="F193" s="37"/>
      <c r="G193" s="37"/>
      <c r="H193" s="37"/>
      <c r="I193" s="15" t="str">
        <f>IF(B193=1,CONCATENATE("=",$G$7,A193," "),CONCATENATE("~",$G$7,A193," "))</f>
        <v xml:space="preserve">~[moodle]Semua pegawai membuat format SKP yang sama </v>
      </c>
      <c r="J193" s="38"/>
    </row>
    <row r="194" spans="1:10" ht="15" customHeight="1" x14ac:dyDescent="0.35">
      <c r="A194" s="7" t="s">
        <v>328</v>
      </c>
      <c r="B194" s="16">
        <v>0</v>
      </c>
      <c r="C194" s="14"/>
      <c r="D194" s="37"/>
      <c r="E194" s="37"/>
      <c r="F194" s="37"/>
      <c r="G194" s="37"/>
      <c r="H194" s="37"/>
      <c r="I194" s="15" t="str">
        <f t="shared" ref="I194:I195" si="102">IF(B194=1,CONCATENATE("=",$G$7,A194," "),CONCATENATE("~",$G$7,A194," "))</f>
        <v xml:space="preserve">~[moodle]Isian SKP berupa Kegiatan Tugas Jabatan (KTJ) atau Aktivitas atau kegiatan </v>
      </c>
      <c r="J194" s="38"/>
    </row>
    <row r="195" spans="1:10" ht="15" customHeight="1" x14ac:dyDescent="0.35">
      <c r="A195" s="7" t="s">
        <v>329</v>
      </c>
      <c r="B195" s="16">
        <v>0</v>
      </c>
      <c r="C195" s="14"/>
      <c r="D195" s="37"/>
      <c r="E195" s="37"/>
      <c r="F195" s="37"/>
      <c r="G195" s="37"/>
      <c r="H195" s="37"/>
      <c r="I195" s="15" t="str">
        <f t="shared" si="102"/>
        <v xml:space="preserve">~[moodle]Tidak ada lampiran reviu SKP </v>
      </c>
      <c r="J195" s="38"/>
    </row>
    <row r="196" spans="1:10" ht="15" customHeight="1" x14ac:dyDescent="0.35">
      <c r="A196" s="6" t="s">
        <v>330</v>
      </c>
      <c r="B196" s="16">
        <v>1</v>
      </c>
      <c r="C196" s="14"/>
      <c r="D196" s="37"/>
      <c r="E196" s="37"/>
      <c r="F196" s="37"/>
      <c r="G196" s="37"/>
      <c r="H196" s="37"/>
      <c r="I196" s="15" t="str">
        <f>IF(B196=1,CONCATENATE("=",$G$7,A196,"}"),CONCATENATE("~",$G$7,A196,"}"))</f>
        <v>=[moodle]Ada Indikator Kinerja Individu (IKI)}</v>
      </c>
      <c r="J196" s="38"/>
    </row>
    <row r="197" spans="1:10" ht="15" customHeight="1" x14ac:dyDescent="0.35">
      <c r="A197" s="11" t="s">
        <v>331</v>
      </c>
      <c r="B197" s="16"/>
      <c r="C197" s="18"/>
      <c r="D197" s="37" t="str">
        <f t="shared" ref="D197" si="103">CONCATENATE("::",$A$1,"_",$C$1,"_")</f>
        <v>::PRETEST_PRAKOM_</v>
      </c>
      <c r="E197" s="37" t="s">
        <v>336</v>
      </c>
      <c r="F197" s="37" t="s">
        <v>12</v>
      </c>
      <c r="G197" s="37" t="s">
        <v>13</v>
      </c>
      <c r="H197" s="37" t="s">
        <v>11</v>
      </c>
      <c r="I197" s="15" t="str">
        <f>CONCATENATE(D197,E197,F197,H197,A197," \:{")</f>
        <v>::PRETEST_PRAKOM_040::[html]Yang tercantum pada formulir bukti fisik oleh seorang pejabat pranata komputer adalah berikut ini, kecuali \:{</v>
      </c>
      <c r="J197" s="38" t="str">
        <f t="shared" ref="J197" si="104">CONCATENATE(I197,I198,I199,I200,I201)</f>
        <v>::PRETEST_PRAKOM_040::[html]Yang tercantum pada formulir bukti fisik oleh seorang pejabat pranata komputer adalah berikut ini, kecuali \:{~[moodle]Identitas pejabat Pranata Komputer (PPK) ~[moodle]Nama butir kegiatan sesuai dengan Permenpan RB =[moodle]Angka kredit yang telah ditetapkan ~[moodle]Tanggal dan lokasi kegiatan dilakukan}</v>
      </c>
    </row>
    <row r="198" spans="1:10" ht="15" customHeight="1" x14ac:dyDescent="0.35">
      <c r="A198" s="7" t="s">
        <v>332</v>
      </c>
      <c r="B198" s="16">
        <v>0</v>
      </c>
      <c r="C198" s="14"/>
      <c r="D198" s="37"/>
      <c r="E198" s="37"/>
      <c r="F198" s="37"/>
      <c r="G198" s="37"/>
      <c r="H198" s="37"/>
      <c r="I198" s="15" t="str">
        <f>IF(B198=1,CONCATENATE("=",$G$7,A198," "),CONCATENATE("~",$G$7,A198," "))</f>
        <v xml:space="preserve">~[moodle]Identitas pejabat Pranata Komputer (PPK) </v>
      </c>
      <c r="J198" s="38"/>
    </row>
    <row r="199" spans="1:10" ht="15" customHeight="1" x14ac:dyDescent="0.35">
      <c r="A199" s="7" t="s">
        <v>333</v>
      </c>
      <c r="B199" s="16">
        <v>0</v>
      </c>
      <c r="C199" s="14"/>
      <c r="D199" s="37"/>
      <c r="E199" s="37"/>
      <c r="F199" s="37"/>
      <c r="G199" s="37"/>
      <c r="H199" s="37"/>
      <c r="I199" s="15" t="str">
        <f t="shared" ref="I199:I200" si="105">IF(B199=1,CONCATENATE("=",$G$7,A199," "),CONCATENATE("~",$G$7,A199," "))</f>
        <v xml:space="preserve">~[moodle]Nama butir kegiatan sesuai dengan Permenpan RB </v>
      </c>
      <c r="J199" s="38"/>
    </row>
    <row r="200" spans="1:10" ht="15" customHeight="1" x14ac:dyDescent="0.35">
      <c r="A200" s="6" t="s">
        <v>334</v>
      </c>
      <c r="B200" s="16">
        <v>1</v>
      </c>
      <c r="C200" s="14"/>
      <c r="D200" s="37"/>
      <c r="E200" s="37"/>
      <c r="F200" s="37"/>
      <c r="G200" s="37"/>
      <c r="H200" s="37"/>
      <c r="I200" s="15" t="str">
        <f t="shared" si="105"/>
        <v xml:space="preserve">=[moodle]Angka kredit yang telah ditetapkan </v>
      </c>
      <c r="J200" s="38"/>
    </row>
    <row r="201" spans="1:10" ht="15" customHeight="1" x14ac:dyDescent="0.35">
      <c r="A201" s="19" t="s">
        <v>335</v>
      </c>
      <c r="B201" s="16">
        <v>0</v>
      </c>
      <c r="C201" s="14"/>
      <c r="D201" s="37"/>
      <c r="E201" s="37"/>
      <c r="F201" s="37"/>
      <c r="G201" s="37"/>
      <c r="H201" s="37"/>
      <c r="I201" s="15" t="str">
        <f>IF(B201=1,CONCATENATE("=",$G$7,A201,"}"),CONCATENATE("~",$G$7,A201,"}"))</f>
        <v>~[moodle]Tanggal dan lokasi kegiatan dilakukan}</v>
      </c>
      <c r="J201" s="38"/>
    </row>
  </sheetData>
  <mergeCells count="240">
    <mergeCell ref="J107:J111"/>
    <mergeCell ref="D122:D126"/>
    <mergeCell ref="E122:E126"/>
    <mergeCell ref="F122:F126"/>
    <mergeCell ref="G122:G126"/>
    <mergeCell ref="H122:H126"/>
    <mergeCell ref="J122:J126"/>
    <mergeCell ref="D112:D116"/>
    <mergeCell ref="E112:E116"/>
    <mergeCell ref="F112:F116"/>
    <mergeCell ref="G112:G116"/>
    <mergeCell ref="H112:H116"/>
    <mergeCell ref="J112:J116"/>
    <mergeCell ref="D117:D121"/>
    <mergeCell ref="E117:E121"/>
    <mergeCell ref="F117:F121"/>
    <mergeCell ref="G117:G121"/>
    <mergeCell ref="H117:H121"/>
    <mergeCell ref="J117:J121"/>
    <mergeCell ref="G42:G46"/>
    <mergeCell ref="G47:G51"/>
    <mergeCell ref="D42:D46"/>
    <mergeCell ref="E42:E46"/>
    <mergeCell ref="D17:D21"/>
    <mergeCell ref="E17:E21"/>
    <mergeCell ref="D22:D26"/>
    <mergeCell ref="E22:E26"/>
    <mergeCell ref="D102:D106"/>
    <mergeCell ref="E102:E106"/>
    <mergeCell ref="F102:F106"/>
    <mergeCell ref="G102:G106"/>
    <mergeCell ref="F2:F6"/>
    <mergeCell ref="F7:F11"/>
    <mergeCell ref="G7:G11"/>
    <mergeCell ref="G12:G16"/>
    <mergeCell ref="G17:G21"/>
    <mergeCell ref="G22:G26"/>
    <mergeCell ref="G27:G31"/>
    <mergeCell ref="G32:G36"/>
    <mergeCell ref="G37:G41"/>
    <mergeCell ref="F27:F31"/>
    <mergeCell ref="F32:F36"/>
    <mergeCell ref="F37:F41"/>
    <mergeCell ref="H47:H51"/>
    <mergeCell ref="G2:G6"/>
    <mergeCell ref="D27:D31"/>
    <mergeCell ref="E27:E31"/>
    <mergeCell ref="E2:E6"/>
    <mergeCell ref="D2:D6"/>
    <mergeCell ref="D32:D36"/>
    <mergeCell ref="E32:E36"/>
    <mergeCell ref="D37:D41"/>
    <mergeCell ref="E37:E41"/>
    <mergeCell ref="D7:D11"/>
    <mergeCell ref="E7:E11"/>
    <mergeCell ref="D12:D16"/>
    <mergeCell ref="E12:E16"/>
    <mergeCell ref="H22:H26"/>
    <mergeCell ref="H27:H31"/>
    <mergeCell ref="H32:H36"/>
    <mergeCell ref="H37:H41"/>
    <mergeCell ref="H42:H46"/>
    <mergeCell ref="D47:D51"/>
    <mergeCell ref="E47:E51"/>
    <mergeCell ref="D52:D56"/>
    <mergeCell ref="E52:E56"/>
    <mergeCell ref="F52:F56"/>
    <mergeCell ref="G52:G56"/>
    <mergeCell ref="H52:H56"/>
    <mergeCell ref="F42:F46"/>
    <mergeCell ref="F47:F51"/>
    <mergeCell ref="J2:J6"/>
    <mergeCell ref="J7:J11"/>
    <mergeCell ref="J12:J16"/>
    <mergeCell ref="J47:J51"/>
    <mergeCell ref="J17:J21"/>
    <mergeCell ref="J22:J26"/>
    <mergeCell ref="J27:J31"/>
    <mergeCell ref="J32:J36"/>
    <mergeCell ref="J37:J41"/>
    <mergeCell ref="J42:J46"/>
    <mergeCell ref="H2:H6"/>
    <mergeCell ref="H7:H11"/>
    <mergeCell ref="H12:H16"/>
    <mergeCell ref="H17:H21"/>
    <mergeCell ref="F12:F16"/>
    <mergeCell ref="F17:F21"/>
    <mergeCell ref="F22:F26"/>
    <mergeCell ref="D62:D66"/>
    <mergeCell ref="E62:E66"/>
    <mergeCell ref="F62:F66"/>
    <mergeCell ref="G62:G66"/>
    <mergeCell ref="H62:H66"/>
    <mergeCell ref="D57:D61"/>
    <mergeCell ref="E57:E61"/>
    <mergeCell ref="F57:F61"/>
    <mergeCell ref="G57:G61"/>
    <mergeCell ref="H57:H61"/>
    <mergeCell ref="D72:D76"/>
    <mergeCell ref="E72:E76"/>
    <mergeCell ref="F72:F76"/>
    <mergeCell ref="G72:G76"/>
    <mergeCell ref="H72:H76"/>
    <mergeCell ref="D67:D71"/>
    <mergeCell ref="E67:E71"/>
    <mergeCell ref="F67:F71"/>
    <mergeCell ref="G67:G71"/>
    <mergeCell ref="H67:H71"/>
    <mergeCell ref="J52:J56"/>
    <mergeCell ref="J57:J61"/>
    <mergeCell ref="J62:J66"/>
    <mergeCell ref="J67:J71"/>
    <mergeCell ref="J72:J76"/>
    <mergeCell ref="D97:D101"/>
    <mergeCell ref="E97:E101"/>
    <mergeCell ref="F97:F101"/>
    <mergeCell ref="G97:G101"/>
    <mergeCell ref="H97:H101"/>
    <mergeCell ref="D92:D96"/>
    <mergeCell ref="E92:E96"/>
    <mergeCell ref="F92:F96"/>
    <mergeCell ref="G92:G96"/>
    <mergeCell ref="H92:H96"/>
    <mergeCell ref="D87:D91"/>
    <mergeCell ref="E87:E91"/>
    <mergeCell ref="F87:F91"/>
    <mergeCell ref="G87:G91"/>
    <mergeCell ref="H87:H91"/>
    <mergeCell ref="D82:D86"/>
    <mergeCell ref="E82:E86"/>
    <mergeCell ref="F82:F86"/>
    <mergeCell ref="G82:G86"/>
    <mergeCell ref="D127:D131"/>
    <mergeCell ref="E127:E131"/>
    <mergeCell ref="F127:F131"/>
    <mergeCell ref="G127:G131"/>
    <mergeCell ref="H127:H131"/>
    <mergeCell ref="J127:J131"/>
    <mergeCell ref="J77:J81"/>
    <mergeCell ref="J82:J86"/>
    <mergeCell ref="J87:J91"/>
    <mergeCell ref="J92:J96"/>
    <mergeCell ref="J97:J101"/>
    <mergeCell ref="H82:H86"/>
    <mergeCell ref="D77:D81"/>
    <mergeCell ref="E77:E81"/>
    <mergeCell ref="F77:F81"/>
    <mergeCell ref="G77:G81"/>
    <mergeCell ref="H77:H81"/>
    <mergeCell ref="H102:H106"/>
    <mergeCell ref="J102:J106"/>
    <mergeCell ref="D107:D111"/>
    <mergeCell ref="E107:E111"/>
    <mergeCell ref="F107:F111"/>
    <mergeCell ref="G107:G111"/>
    <mergeCell ref="H107:H111"/>
    <mergeCell ref="D132:D136"/>
    <mergeCell ref="E132:E136"/>
    <mergeCell ref="F132:F136"/>
    <mergeCell ref="G132:G136"/>
    <mergeCell ref="H132:H136"/>
    <mergeCell ref="J132:J136"/>
    <mergeCell ref="D137:D141"/>
    <mergeCell ref="E137:E141"/>
    <mergeCell ref="F137:F141"/>
    <mergeCell ref="G137:G141"/>
    <mergeCell ref="H137:H141"/>
    <mergeCell ref="J137:J141"/>
    <mergeCell ref="D142:D146"/>
    <mergeCell ref="E142:E146"/>
    <mergeCell ref="F142:F146"/>
    <mergeCell ref="G142:G146"/>
    <mergeCell ref="H142:H146"/>
    <mergeCell ref="J142:J146"/>
    <mergeCell ref="D147:D151"/>
    <mergeCell ref="E147:E151"/>
    <mergeCell ref="F147:F151"/>
    <mergeCell ref="G147:G151"/>
    <mergeCell ref="H147:H151"/>
    <mergeCell ref="J147:J151"/>
    <mergeCell ref="D152:D156"/>
    <mergeCell ref="E152:E156"/>
    <mergeCell ref="F152:F156"/>
    <mergeCell ref="G152:G156"/>
    <mergeCell ref="H152:H156"/>
    <mergeCell ref="J152:J156"/>
    <mergeCell ref="D157:D161"/>
    <mergeCell ref="E157:E161"/>
    <mergeCell ref="F157:F161"/>
    <mergeCell ref="G157:G161"/>
    <mergeCell ref="H157:H161"/>
    <mergeCell ref="J157:J161"/>
    <mergeCell ref="D162:D166"/>
    <mergeCell ref="E162:E166"/>
    <mergeCell ref="F162:F166"/>
    <mergeCell ref="G162:G166"/>
    <mergeCell ref="H162:H166"/>
    <mergeCell ref="J162:J166"/>
    <mergeCell ref="D167:D171"/>
    <mergeCell ref="E167:E171"/>
    <mergeCell ref="F167:F171"/>
    <mergeCell ref="G167:G171"/>
    <mergeCell ref="H167:H171"/>
    <mergeCell ref="J167:J171"/>
    <mergeCell ref="D172:D176"/>
    <mergeCell ref="E172:E176"/>
    <mergeCell ref="F172:F176"/>
    <mergeCell ref="G172:G176"/>
    <mergeCell ref="H172:H176"/>
    <mergeCell ref="J172:J176"/>
    <mergeCell ref="D177:D181"/>
    <mergeCell ref="E177:E181"/>
    <mergeCell ref="F177:F181"/>
    <mergeCell ref="G177:G181"/>
    <mergeCell ref="H177:H181"/>
    <mergeCell ref="J177:J181"/>
    <mergeCell ref="D182:D186"/>
    <mergeCell ref="E182:E186"/>
    <mergeCell ref="F182:F186"/>
    <mergeCell ref="G182:G186"/>
    <mergeCell ref="H182:H186"/>
    <mergeCell ref="J182:J186"/>
    <mergeCell ref="D187:D191"/>
    <mergeCell ref="E187:E191"/>
    <mergeCell ref="F187:F191"/>
    <mergeCell ref="G187:G191"/>
    <mergeCell ref="H187:H191"/>
    <mergeCell ref="J187:J191"/>
    <mergeCell ref="D192:D196"/>
    <mergeCell ref="E192:E196"/>
    <mergeCell ref="F192:F196"/>
    <mergeCell ref="G192:G196"/>
    <mergeCell ref="H192:H196"/>
    <mergeCell ref="J192:J196"/>
    <mergeCell ref="D197:D201"/>
    <mergeCell ref="E197:E201"/>
    <mergeCell ref="F197:F201"/>
    <mergeCell ref="G197:G201"/>
    <mergeCell ref="H197:H201"/>
    <mergeCell ref="J197:J201"/>
  </mergeCells>
  <phoneticPr fontId="2" type="noConversion"/>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9"/>
  <sheetViews>
    <sheetView workbookViewId="0"/>
  </sheetViews>
  <sheetFormatPr defaultRowHeight="14.5" x14ac:dyDescent="0.35"/>
  <sheetData>
    <row r="1" spans="1:1" x14ac:dyDescent="0.35">
      <c r="A1" t="str">
        <f>Sheet1!$D$1</f>
        <v>//PRAKOMAHLI_PRETEST</v>
      </c>
    </row>
    <row r="3" spans="1:1" x14ac:dyDescent="0.35">
      <c r="A3" t="str">
        <f>Sheet1!J2</f>
        <v>::PRETEST_PRAKOM_001::[html]Menurut Mayer, multimedia akan lebih maksimal jika menggunakan gabungan dari grafik dan narasi, dibandingkan dengan hanya penggunaan grafik saja atau narasi saja. Prinsip ini disebut \:{=[moodle]Redundansi ~[moodle]Kedekatan sementara ~[moodle]Penandanaan ~[moodle]Koherensi}</v>
      </c>
    </row>
    <row r="5" spans="1:1" x14ac:dyDescent="0.35">
      <c r="A5" t="str">
        <f>Sheet1!$D$1</f>
        <v>//PRAKOMAHLI_PRETEST</v>
      </c>
    </row>
    <row r="7" spans="1:1" x14ac:dyDescent="0.35">
      <c r="A7" t="str">
        <f>Sheet1!J7</f>
        <v>::PRETEST_PRAKOM_002::[html]Peta tematik disebut juga dengan \:{~[moodle]Peta Umum =[moodle]Peta Khusus ~[moodle]Peta Topografi ~[moodle]Peta Dunia}</v>
      </c>
    </row>
    <row r="9" spans="1:1" x14ac:dyDescent="0.35">
      <c r="A9" t="str">
        <f>Sheet1!$D$1</f>
        <v>//PRAKOMAHLI_PRETEST</v>
      </c>
    </row>
    <row r="11" spans="1:1" x14ac:dyDescent="0.35">
      <c r="A11" t="str">
        <f>Sheet1!J12</f>
        <v>::PRETEST_PRAKOM_003::[html]Konten yang merupakan kombinasi dari teks, suara, gambar, animasi, dan video yang dimanipulasi secara digital disebut \:{~[moodle]Adsense ~[moodle]Multilevel =[moodle]Multimedia ~[moodle]Flowchart}</v>
      </c>
    </row>
    <row r="13" spans="1:1" x14ac:dyDescent="0.35">
      <c r="A13" t="str">
        <f>Sheet1!$D$1</f>
        <v>//PRAKOMAHLI_PRETEST</v>
      </c>
    </row>
    <row r="15" spans="1:1" x14ac:dyDescent="0.35">
      <c r="A15" t="str">
        <f>Sheet1!J17</f>
        <v>=[moodle]Pengujian aplikasi yang dilakukan oleh pengguna menggunakan perangkat masing-masing disebut juga dengan ~[moodle]Integration Test ~[moodle]Destructive Test ~[moodle]Latency Test}</v>
      </c>
    </row>
    <row r="17" spans="1:1" x14ac:dyDescent="0.35">
      <c r="A17" t="str">
        <f>Sheet1!$D$1</f>
        <v>//PRAKOMAHLI_PRETEST</v>
      </c>
    </row>
    <row r="19" spans="1:1" x14ac:dyDescent="0.35">
      <c r="A19" t="str">
        <f>Sheet1!J22</f>
        <v>::PRETEST_PRAKOM_005::[html]Keseluruhan inisiatif TI yang terdiri dari visi, misi, tujuan, prinsip, dan taktik yang berkaitan dengan pemanfaatan TI dalam organisasi tertuang di dalam \:{~[moodle]Kebijakan TI =[moodle]Strategi TI ~[moodle]Tata Kelola TI ~[moodle]Roadmap TI}</v>
      </c>
    </row>
    <row r="21" spans="1:1" x14ac:dyDescent="0.35">
      <c r="A21" t="str">
        <f>Sheet1!$D$1</f>
        <v>//PRAKOMAHLI_PRETEST</v>
      </c>
    </row>
    <row r="23" spans="1:1" x14ac:dyDescent="0.35">
      <c r="A23" t="str">
        <f>Sheet1!J27</f>
        <v>::PRETEST_PRAKOM_006::[html]Suatu strategi yang spesifik untuk melaksanakan suatu rencana TI yang telah disusun agar dapat berjalan dan diimplementasikan sesuai dengan target yang diinginkan dengan menggunakan sumber daya seefektif dan seefisien mungkin \:{~[moodle]Strategi TI ~[moodle]Strategi Layanan TI ~[moodle]Strategi Pembiayaan TI =[moodle]Strategi Operasional TI}</v>
      </c>
    </row>
    <row r="25" spans="1:1" x14ac:dyDescent="0.35">
      <c r="A25" t="str">
        <f>Sheet1!$D$1</f>
        <v>//PRAKOMAHLI_PRETEST</v>
      </c>
    </row>
    <row r="27" spans="1:1" x14ac:dyDescent="0.35">
      <c r="A27" t="str">
        <f>Sheet1!J32</f>
        <v>::PRETEST_PRAKOM_007::[html]Berikut ini yang bukan manfaat yang bisa didapatkan dari pengembangan Enterprise Architecture adalah \:{~[moodle]Mempunyai portofolio aplikasi dan teknologi yang dapat digunakan untuk pengelolaan TIK  ~[moodle]Dapat dijadikan dasar pengembangan manajemen risiko =[moodle]Mempunyai informasi kebutuhan pengguna untuk dasar pengembangan aplikasi  ~[moodle]Dasar perencanaan strategi dan pengambilan kebijakan}</v>
      </c>
    </row>
    <row r="29" spans="1:1" x14ac:dyDescent="0.35">
      <c r="A29" t="str">
        <f>Sheet1!$D$1</f>
        <v>//PRAKOMAHLI_PRETEST</v>
      </c>
    </row>
    <row r="31" spans="1:1" x14ac:dyDescent="0.35">
      <c r="A31" t="str">
        <f>Sheet1!J37</f>
        <v>::PRETEST_PRAKOM_008::[html]Prinsip utama yang harus dipegang dalam penyusunan Strategi TI adalah \:{=[moodle]Keselarasan strategi TI dengan strategi bisnis organisasi ~[moodle]Pemerataan program kegiatan TI organisasi ~[moodle]Benar Semua ~[moodle]Salah Semua}</v>
      </c>
    </row>
    <row r="33" spans="1:1" x14ac:dyDescent="0.35">
      <c r="A33" t="str">
        <f>Sheet1!$D$1</f>
        <v>//PRAKOMAHLI_PRETEST</v>
      </c>
    </row>
    <row r="35" spans="1:1" x14ac:dyDescent="0.35">
      <c r="A35" t="str">
        <f>Sheet1!J42</f>
        <v>::PRETEST_PRAKOM_009::[html]Model yang digunakan untuk mengukur tingkat kematangan keselarasan bisnis dan TI adalah \:{=[moodle]Strategic Alignment Maturity Model (SAMM) ~[moodle]Technology Acceptance Model (TAM) ~[moodle]Architecture Development Method (ADM) ~[moodle]Capability Maturity Model Integration (CMMI)}</v>
      </c>
    </row>
    <row r="37" spans="1:1" x14ac:dyDescent="0.35">
      <c r="A37" t="str">
        <f>Sheet1!$D$1</f>
        <v>//PRAKOMAHLI_PRETEST</v>
      </c>
    </row>
    <row r="39" spans="1:1" x14ac:dyDescent="0.35">
      <c r="A39" t="str">
        <f>Sheet1!J47</f>
        <v>::PRETEST_PRAKOM_010::[html]Apakah yang dimaksud dengan spesifikasi teknis?  \:{~[moodle]syarat-syarat barang/jasa yang sedang popular ~[moodle]ketentuan tenknis barang yang dijual di pasaran ~[moodle]rincian fitur barang/jasa yang ditawarkan =[moodle]Deskripsi harga menurut jenis barang/jasa}</v>
      </c>
    </row>
    <row r="41" spans="1:1" x14ac:dyDescent="0.35">
      <c r="A41" t="str">
        <f>Sheet1!$D$1</f>
        <v>//PRAKOMAHLI_PRETEST</v>
      </c>
    </row>
    <row r="43" spans="1:1" x14ac:dyDescent="0.35">
      <c r="A43" t="str">
        <f>Sheet1!J52</f>
        <v>::PRETEST_PRAKOM_011::[html]Untuk dapat melakukan komunikasi menggunakan VOIP dibutuhkan beberapa komponen pendukung. Ada beberapa komponen pendukung yang harus ada dalam VOIP salah satunya adalah \:{~[moodle]Sender =[moodle]Protocol ~[moodle]Data ~[moodle]Server}</v>
      </c>
    </row>
    <row r="45" spans="1:1" x14ac:dyDescent="0.35">
      <c r="A45" t="str">
        <f>Sheet1!$D$1</f>
        <v>//PRAKOMAHLI_PRETEST</v>
      </c>
    </row>
    <row r="47" spans="1:1" x14ac:dyDescent="0.35">
      <c r="A47" t="str">
        <f>Sheet1!J57</f>
        <v>::PRETEST_PRAKOM_012::[html]Bekerja menggunakan algoritma tertentu untuk membantu dalam memecah, mengurutkan, mengkompresi, dan merakit ulang audio data yang ditransmisikan adalah  \:{~[moodle]Softphone ~[moodle]VoIP server =[moodle]Proses codec ~[moodle]Proses codec}</v>
      </c>
    </row>
    <row r="49" spans="1:1" x14ac:dyDescent="0.35">
      <c r="A49" t="str">
        <f>Sheet1!$D$1</f>
        <v>//PRAKOMAHLI_PRETEST</v>
      </c>
    </row>
    <row r="51" spans="1:1" x14ac:dyDescent="0.35">
      <c r="A51" t="str">
        <f>Sheet1!J62</f>
        <v>::PRETEST_PRAKOM_013::[html]Sebelum tahap penyerahan, infrastruktur TI hasil pengadaan harus diperiksa kesesuaiannya dengan \:{=[moodle]Spesifikasi teknis ~[moodle]Brosur ~[moodle]Penawaran harga ~[moodle]spesifikasi pengguna}</v>
      </c>
    </row>
    <row r="53" spans="1:1" x14ac:dyDescent="0.35">
      <c r="A53" t="str">
        <f>Sheet1!$D$1</f>
        <v>//PRAKOMAHLI_PRETEST</v>
      </c>
    </row>
    <row r="55" spans="1:1" x14ac:dyDescent="0.35">
      <c r="A55" t="str">
        <f>Sheet1!J67</f>
        <v>::PRETEST_PRAKOM_014::[html]Sebutkan proses-proses yang di cakup service strategy pada ITIL! \:{=[moodle]Service Portfolio Management, Financial Management, Demand Management ~[moodle]Service Level Management, Supplier Management, CApacity Management ~[moodle]Availibility Management, IT Service Continuity Management, Capacity Management ~[moodle]Information Security Management}</v>
      </c>
    </row>
    <row r="57" spans="1:1" x14ac:dyDescent="0.35">
      <c r="A57" t="str">
        <f>Sheet1!$D$1</f>
        <v>//PRAKOMAHLI_PRETEST</v>
      </c>
    </row>
    <row r="59" spans="1:1" x14ac:dyDescent="0.35">
      <c r="A59" t="str">
        <f>Sheet1!J72</f>
        <v>::PRETEST_PRAKOM_015::[html]Fokus pada service desk merupakan bagian dari service mangement dan ini juga dipersyaratkan di dalam pengelolaan ISO           ITSM. \:{~[moodle]2000 =[moodle]20000  ~[moodle]5000 ~[moodle]50000}</v>
      </c>
    </row>
    <row r="61" spans="1:1" x14ac:dyDescent="0.35">
      <c r="A61" t="str">
        <f>Sheet1!$D$1</f>
        <v>//PRAKOMAHLI_PRETEST</v>
      </c>
    </row>
    <row r="63" spans="1:1" x14ac:dyDescent="0.35">
      <c r="A63" t="str">
        <f>Sheet1!J77</f>
        <v>::PRETEST_PRAKOM_016::[html]Proses yang berhubungan dengan pengelolaan perubahan infrastruktur atau aspek TI lainnya adalah \:{~[moodle]Change Management ~[moodle]Incident Management =[moodle]Service Request Management ~[moodle]Problem Management}</v>
      </c>
    </row>
    <row r="65" spans="1:1" x14ac:dyDescent="0.35">
      <c r="A65" t="str">
        <f>Sheet1!$D$1</f>
        <v>//PRAKOMAHLI_PRETEST</v>
      </c>
    </row>
    <row r="67" spans="1:1" x14ac:dyDescent="0.35">
      <c r="A67" t="str">
        <f>Sheet1!J82</f>
        <v>::PRETEST_PRAKOM_017::[html]Berikut ini yang bukan merupakan proses manajemen risiko TI yaitu \:{~[moodle]Komunikasi dan konsultasi ~[moodle]Penilaian risiko TI ~[moodle]Pemantauan dan reviu =[moodle]Kepemimpinan dan komitmen}</v>
      </c>
    </row>
    <row r="69" spans="1:1" x14ac:dyDescent="0.35">
      <c r="A69" t="str">
        <f>Sheet1!$D$1</f>
        <v>//PRAKOMAHLI_PRETEST</v>
      </c>
    </row>
    <row r="71" spans="1:1" x14ac:dyDescent="0.35">
      <c r="A71" t="str">
        <f>Sheet1!J87</f>
        <v>::PRETEST_PRAKOM_018::[html]Informasi yang harus didapatkan saat proses identifikasi risiko TI yaitu, kecuali \:{~[moodle]Jenis risiko TI ~[moodle]Penyebab risiko TI =[moodle]Level risiko TI ~[moodle]Kategori risiko TI}</v>
      </c>
    </row>
    <row r="73" spans="1:1" x14ac:dyDescent="0.35">
      <c r="A73" t="str">
        <f>Sheet1!$D$1</f>
        <v>//PRAKOMAHLI_PRETEST</v>
      </c>
    </row>
    <row r="75" spans="1:1" x14ac:dyDescent="0.35">
      <c r="A75" t="str">
        <f>Sheet1!J92</f>
        <v>::PRETEST_PRAKOM_019::[html]Cara menentukan besaran nilai risiko TI pada matrik analisis risiko TI yaitu \:{~[moodle]Angka berurutan dari 1 sampai dengan hasil perkalian antara jumlah level kemungkinan dan jumlah level dampak ~[moodle]Angka hasil dari perkalian antara level kemungkinan dan level dampak =[moodle]Benar Semua ~[moodle]Salah semua}</v>
      </c>
    </row>
    <row r="77" spans="1:1" x14ac:dyDescent="0.35">
      <c r="A77" t="str">
        <f>Sheet1!$D$1</f>
        <v>//PRAKOMAHLI_PRETEST</v>
      </c>
    </row>
    <row r="79" spans="1:1" x14ac:dyDescent="0.35">
      <c r="A79" t="str">
        <f>Sheet1!J97</f>
        <v>::PRETEST_PRAKOM_020::[html]Nilai acuan yang digunakan sebagai ambang batas minimum terhadap besaran risiko TI yang harus ditangani merupakan pengertian dari … \:{~[moodle]Residual risiko ~[moodle]Kriteria risiko ~[moodle]Selera risiko =[moodle]Level risiko}</v>
      </c>
    </row>
    <row r="81" spans="1:1" x14ac:dyDescent="0.35">
      <c r="A81" t="str">
        <f>Sheet1!$D$1</f>
        <v>//PRAKOMAHLI_PRETEST</v>
      </c>
    </row>
    <row r="83" spans="1:1" x14ac:dyDescent="0.35">
      <c r="A83" t="str">
        <f>Sheet1!J102</f>
        <v>::PRETEST_PRAKOM_021::[html]Manakah dari pilihan jawaban berikut ini yang TIDAK termasuk aspek-aspek TELOS pada studi kelayakan pengolahan data? \:{~[moodle]Aspek teknis ~[moodle]Aspek hukum ~[moodle]Aspek jadwal =[moodle]Aspek kinerja}</v>
      </c>
    </row>
    <row r="85" spans="1:1" x14ac:dyDescent="0.35">
      <c r="A85" t="str">
        <f>Sheet1!$D$1</f>
        <v>//PRAKOMAHLI_PRETEST</v>
      </c>
    </row>
    <row r="87" spans="1:1" x14ac:dyDescent="0.35">
      <c r="A87" t="str">
        <f>Sheet1!J107</f>
        <v>::PRETEST_PRAKOM_022::[html]Suatu studi yang akan digunakan untuk menentukan kemungkinan apakah suatu kegiatan layak diteruskan atau dihentikan merupakan pengertian dari …. \:{~[moodle]fact-finding analysis =[moodle]feasibility study ~[moodle]research design ~[moodle]FGD}</v>
      </c>
    </row>
    <row r="89" spans="1:1" x14ac:dyDescent="0.35">
      <c r="A89" t="str">
        <f>Sheet1!$D$1</f>
        <v>//PRAKOMAHLI_PRETEST</v>
      </c>
    </row>
    <row r="91" spans="1:1" x14ac:dyDescent="0.35">
      <c r="A91" t="str">
        <f>Sheet1!J112</f>
        <v>::PRETEST_PRAKOM_023::[html]Metode pemuatan data jika volume data nya sangat besar dan organisasi tidak membutuhkan pengaksesan data secara realtime, yaitu menggunakan ….. \:{~[moodle]temporary processing ~[moodle]redudancy processing ~[moodle]realtime processing =[moodle]batch processing}</v>
      </c>
    </row>
    <row r="93" spans="1:1" x14ac:dyDescent="0.35">
      <c r="A93" t="str">
        <f>Sheet1!$D$1</f>
        <v>//PRAKOMAHLI_PRETEST</v>
      </c>
    </row>
    <row r="95" spans="1:1" x14ac:dyDescent="0.35">
      <c r="A95" t="str">
        <f>Sheet1!J117</f>
        <v>::PRETEST_PRAKOM_024::[html]Troughput adalah  \:{=[moodle]Ukuran bit yang ditransfer melintasi media selama periode waktu tertentu ~[moodle]Jaminan kecepatan transfer data yang ditawarkan oleh ISP ~[moodle]Waktu yang dibutuhkan sebuah pesan untuk sampai dari pengirim ke penerima ~[moodle]Ukuran data yang dapat digunakan yang ditransfer melalui media}</v>
      </c>
    </row>
    <row r="97" spans="1:1" x14ac:dyDescent="0.35">
      <c r="A97" t="str">
        <f>Sheet1!$D$1</f>
        <v>//PRAKOMAHLI_PRETEST</v>
      </c>
    </row>
    <row r="99" spans="1:1" x14ac:dyDescent="0.35">
      <c r="A99" t="str">
        <f>Sheet1!J122</f>
        <v>::PRETEST_PRAKOM_025::[html]Dalam perancangan jaringan komputer, ada istilah yang digunakan dalam pengaturan fisik dan logis dari node dan koneksi dalam jaringan dinamakan… \:{=[moodle]Topologi ~[moodle]Segmen ~[moodle]Routing ~[moodle]Layer}</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83DDA-CC15-474E-BD68-66C4A8CCCA93}">
  <dimension ref="A1:G125"/>
  <sheetViews>
    <sheetView zoomScale="50" zoomScaleNormal="50" workbookViewId="0">
      <selection activeCell="G125" sqref="G1:G125"/>
    </sheetView>
  </sheetViews>
  <sheetFormatPr defaultRowHeight="15" customHeight="1" x14ac:dyDescent="0.35"/>
  <cols>
    <col min="1" max="5" width="8.7265625" style="4"/>
  </cols>
  <sheetData>
    <row r="1" spans="1:7" ht="15" customHeight="1" x14ac:dyDescent="0.35">
      <c r="A1" s="2" t="s">
        <v>14</v>
      </c>
      <c r="B1" s="3" t="s">
        <v>111</v>
      </c>
      <c r="C1" s="2" t="s">
        <v>15</v>
      </c>
      <c r="D1" s="2" t="s">
        <v>112</v>
      </c>
      <c r="E1" s="2" t="s">
        <v>113</v>
      </c>
      <c r="G1" s="2" t="s">
        <v>14</v>
      </c>
    </row>
    <row r="2" spans="1:7" ht="15" customHeight="1" x14ac:dyDescent="0.35">
      <c r="A2" s="2" t="s">
        <v>16</v>
      </c>
      <c r="B2" s="2" t="s">
        <v>17</v>
      </c>
      <c r="C2" s="2" t="s">
        <v>18</v>
      </c>
      <c r="D2" s="2" t="s">
        <v>19</v>
      </c>
      <c r="E2" s="3" t="s">
        <v>20</v>
      </c>
      <c r="G2" s="3" t="s">
        <v>111</v>
      </c>
    </row>
    <row r="3" spans="1:7" ht="15" customHeight="1" x14ac:dyDescent="0.35">
      <c r="A3" s="2" t="s">
        <v>21</v>
      </c>
      <c r="B3" s="2" t="s">
        <v>22</v>
      </c>
      <c r="C3" s="2" t="s">
        <v>23</v>
      </c>
      <c r="D3" s="2" t="s">
        <v>24</v>
      </c>
      <c r="E3" s="3" t="s">
        <v>25</v>
      </c>
      <c r="G3" s="2" t="s">
        <v>15</v>
      </c>
    </row>
    <row r="4" spans="1:7" ht="15" customHeight="1" x14ac:dyDescent="0.35">
      <c r="A4" s="2" t="s">
        <v>26</v>
      </c>
      <c r="B4" s="2" t="s">
        <v>27</v>
      </c>
      <c r="C4" s="2" t="s">
        <v>28</v>
      </c>
      <c r="D4" s="3" t="s">
        <v>29</v>
      </c>
      <c r="E4" s="2" t="s">
        <v>30</v>
      </c>
      <c r="G4" s="2" t="s">
        <v>112</v>
      </c>
    </row>
    <row r="5" spans="1:7" ht="15" customHeight="1" x14ac:dyDescent="0.35">
      <c r="A5" s="2" t="s">
        <v>31</v>
      </c>
      <c r="B5" s="2" t="s">
        <v>32</v>
      </c>
      <c r="C5" s="2" t="s">
        <v>33</v>
      </c>
      <c r="D5" s="3" t="s">
        <v>34</v>
      </c>
      <c r="E5" s="2" t="s">
        <v>35</v>
      </c>
      <c r="G5" s="2" t="s">
        <v>113</v>
      </c>
    </row>
    <row r="6" spans="1:7" ht="15" customHeight="1" x14ac:dyDescent="0.35">
      <c r="A6" s="2" t="s">
        <v>36</v>
      </c>
      <c r="B6" s="2" t="s">
        <v>37</v>
      </c>
      <c r="C6" s="2" t="s">
        <v>38</v>
      </c>
      <c r="D6" s="3" t="s">
        <v>39</v>
      </c>
      <c r="E6" s="2" t="s">
        <v>40</v>
      </c>
      <c r="G6" s="2" t="s">
        <v>16</v>
      </c>
    </row>
    <row r="7" spans="1:7" ht="15" customHeight="1" x14ac:dyDescent="0.35">
      <c r="A7" s="2" t="s">
        <v>41</v>
      </c>
      <c r="B7" s="2" t="s">
        <v>42</v>
      </c>
      <c r="C7" s="2" t="s">
        <v>43</v>
      </c>
      <c r="D7" s="3" t="s">
        <v>44</v>
      </c>
      <c r="E7" s="2" t="s">
        <v>45</v>
      </c>
      <c r="G7" s="2" t="s">
        <v>17</v>
      </c>
    </row>
    <row r="8" spans="1:7" ht="15" customHeight="1" x14ac:dyDescent="0.35">
      <c r="A8" s="2" t="s">
        <v>46</v>
      </c>
      <c r="B8" s="2" t="s">
        <v>47</v>
      </c>
      <c r="C8" s="2" t="s">
        <v>48</v>
      </c>
      <c r="D8" s="3" t="s">
        <v>49</v>
      </c>
      <c r="E8" s="2" t="s">
        <v>50</v>
      </c>
      <c r="G8" s="2" t="s">
        <v>18</v>
      </c>
    </row>
    <row r="9" spans="1:7" ht="15" customHeight="1" x14ac:dyDescent="0.35">
      <c r="A9" s="2" t="s">
        <v>51</v>
      </c>
      <c r="B9" s="2" t="s">
        <v>52</v>
      </c>
      <c r="C9" s="2" t="s">
        <v>53</v>
      </c>
      <c r="D9" s="2" t="s">
        <v>54</v>
      </c>
      <c r="E9" s="3" t="s">
        <v>55</v>
      </c>
      <c r="G9" s="2" t="s">
        <v>19</v>
      </c>
    </row>
    <row r="10" spans="1:7" ht="15" customHeight="1" x14ac:dyDescent="0.35">
      <c r="A10" s="2" t="s">
        <v>56</v>
      </c>
      <c r="B10" s="2" t="s">
        <v>57</v>
      </c>
      <c r="C10" s="2" t="s">
        <v>58</v>
      </c>
      <c r="D10" s="3" t="s">
        <v>59</v>
      </c>
      <c r="E10" s="2" t="s">
        <v>60</v>
      </c>
      <c r="G10" s="3" t="s">
        <v>20</v>
      </c>
    </row>
    <row r="11" spans="1:7" ht="15" customHeight="1" x14ac:dyDescent="0.35">
      <c r="A11" s="2" t="s">
        <v>61</v>
      </c>
      <c r="B11" s="3" t="s">
        <v>62</v>
      </c>
      <c r="C11" s="2" t="s">
        <v>63</v>
      </c>
      <c r="D11" s="2" t="s">
        <v>64</v>
      </c>
      <c r="E11" s="2" t="s">
        <v>65</v>
      </c>
      <c r="G11" s="2" t="s">
        <v>21</v>
      </c>
    </row>
    <row r="12" spans="1:7" ht="15" customHeight="1" x14ac:dyDescent="0.35">
      <c r="A12" s="2" t="s">
        <v>66</v>
      </c>
      <c r="B12" s="2">
        <v>16</v>
      </c>
      <c r="C12" s="2">
        <v>17</v>
      </c>
      <c r="D12" s="2">
        <v>18</v>
      </c>
      <c r="E12" s="3">
        <v>19</v>
      </c>
      <c r="G12" s="2" t="s">
        <v>22</v>
      </c>
    </row>
    <row r="13" spans="1:7" ht="15" customHeight="1" x14ac:dyDescent="0.35">
      <c r="A13" s="2" t="s">
        <v>67</v>
      </c>
      <c r="B13" s="2" t="s">
        <v>68</v>
      </c>
      <c r="C13" s="2" t="s">
        <v>69</v>
      </c>
      <c r="D13" s="2" t="s">
        <v>70</v>
      </c>
      <c r="E13" s="3" t="s">
        <v>71</v>
      </c>
      <c r="G13" s="2" t="s">
        <v>23</v>
      </c>
    </row>
    <row r="14" spans="1:7" ht="15" customHeight="1" x14ac:dyDescent="0.35">
      <c r="A14" s="2" t="s">
        <v>72</v>
      </c>
      <c r="B14" s="2" t="s">
        <v>73</v>
      </c>
      <c r="C14" s="2" t="s">
        <v>74</v>
      </c>
      <c r="D14" s="3" t="s">
        <v>75</v>
      </c>
      <c r="E14" s="2" t="s">
        <v>76</v>
      </c>
      <c r="G14" s="2" t="s">
        <v>24</v>
      </c>
    </row>
    <row r="15" spans="1:7" ht="15" customHeight="1" x14ac:dyDescent="0.35">
      <c r="A15" s="2" t="s">
        <v>77</v>
      </c>
      <c r="B15" s="2">
        <v>1</v>
      </c>
      <c r="C15" s="2">
        <v>2</v>
      </c>
      <c r="D15" s="3">
        <v>3</v>
      </c>
      <c r="E15" s="2">
        <v>4</v>
      </c>
      <c r="G15" s="3" t="s">
        <v>25</v>
      </c>
    </row>
    <row r="16" spans="1:7" ht="15" customHeight="1" x14ac:dyDescent="0.35">
      <c r="A16" s="2" t="s">
        <v>78</v>
      </c>
      <c r="B16" s="2">
        <v>1</v>
      </c>
      <c r="C16" s="3">
        <v>2</v>
      </c>
      <c r="D16" s="2">
        <v>3</v>
      </c>
      <c r="E16" s="2">
        <v>4</v>
      </c>
      <c r="G16" s="2" t="s">
        <v>26</v>
      </c>
    </row>
    <row r="17" spans="1:7" ht="15" customHeight="1" x14ac:dyDescent="0.35">
      <c r="A17" s="2" t="s">
        <v>79</v>
      </c>
      <c r="B17" s="2" t="s">
        <v>80</v>
      </c>
      <c r="C17" s="2" t="s">
        <v>81</v>
      </c>
      <c r="D17" s="3" t="s">
        <v>82</v>
      </c>
      <c r="E17" s="2" t="s">
        <v>83</v>
      </c>
      <c r="G17" s="2" t="s">
        <v>27</v>
      </c>
    </row>
    <row r="18" spans="1:7" ht="15" customHeight="1" x14ac:dyDescent="0.35">
      <c r="A18" s="2" t="s">
        <v>84</v>
      </c>
      <c r="B18" s="3">
        <v>1</v>
      </c>
      <c r="C18" s="2">
        <v>2</v>
      </c>
      <c r="D18" s="2">
        <v>3</v>
      </c>
      <c r="E18" s="2">
        <v>4</v>
      </c>
      <c r="G18" s="2" t="s">
        <v>28</v>
      </c>
    </row>
    <row r="19" spans="1:7" ht="15" customHeight="1" x14ac:dyDescent="0.35">
      <c r="A19" s="2" t="s">
        <v>85</v>
      </c>
      <c r="B19" s="3" t="s">
        <v>86</v>
      </c>
      <c r="C19" s="2" t="s">
        <v>87</v>
      </c>
      <c r="D19" s="2" t="s">
        <v>88</v>
      </c>
      <c r="E19" s="2" t="s">
        <v>89</v>
      </c>
      <c r="G19" s="3" t="s">
        <v>29</v>
      </c>
    </row>
    <row r="20" spans="1:7" ht="15" customHeight="1" x14ac:dyDescent="0.35">
      <c r="A20" s="2" t="s">
        <v>90</v>
      </c>
      <c r="B20" s="3">
        <v>1</v>
      </c>
      <c r="C20" s="2">
        <v>2</v>
      </c>
      <c r="D20" s="2">
        <v>3</v>
      </c>
      <c r="E20" s="2">
        <v>4</v>
      </c>
      <c r="G20" s="2" t="s">
        <v>30</v>
      </c>
    </row>
    <row r="21" spans="1:7" ht="15" customHeight="1" x14ac:dyDescent="0.35">
      <c r="A21" s="2" t="s">
        <v>91</v>
      </c>
      <c r="B21" s="2">
        <v>1</v>
      </c>
      <c r="C21" s="3">
        <v>2</v>
      </c>
      <c r="D21" s="2">
        <v>3</v>
      </c>
      <c r="E21" s="2">
        <v>4</v>
      </c>
      <c r="G21" s="2" t="s">
        <v>31</v>
      </c>
    </row>
    <row r="22" spans="1:7" ht="15" customHeight="1" x14ac:dyDescent="0.35">
      <c r="A22" s="2" t="s">
        <v>92</v>
      </c>
      <c r="B22" s="2" t="s">
        <v>93</v>
      </c>
      <c r="C22" s="3" t="s">
        <v>94</v>
      </c>
      <c r="D22" s="2" t="s">
        <v>95</v>
      </c>
      <c r="E22" s="2" t="s">
        <v>96</v>
      </c>
      <c r="G22" s="2" t="s">
        <v>32</v>
      </c>
    </row>
    <row r="23" spans="1:7" ht="15" customHeight="1" x14ac:dyDescent="0.35">
      <c r="A23" s="2" t="s">
        <v>97</v>
      </c>
      <c r="B23" s="2" t="s">
        <v>98</v>
      </c>
      <c r="C23" s="2" t="s">
        <v>99</v>
      </c>
      <c r="D23" s="3" t="s">
        <v>100</v>
      </c>
      <c r="E23" s="2" t="s">
        <v>101</v>
      </c>
      <c r="G23" s="2" t="s">
        <v>33</v>
      </c>
    </row>
    <row r="24" spans="1:7" ht="15" customHeight="1" x14ac:dyDescent="0.35">
      <c r="A24" s="2" t="s">
        <v>102</v>
      </c>
      <c r="B24" s="2" t="s">
        <v>103</v>
      </c>
      <c r="C24" s="2" t="s">
        <v>104</v>
      </c>
      <c r="D24" s="3" t="s">
        <v>105</v>
      </c>
      <c r="E24" s="2" t="s">
        <v>106</v>
      </c>
      <c r="G24" s="3" t="s">
        <v>34</v>
      </c>
    </row>
    <row r="25" spans="1:7" ht="15" customHeight="1" x14ac:dyDescent="0.35">
      <c r="A25" s="2" t="s">
        <v>107</v>
      </c>
      <c r="B25" s="2" t="s">
        <v>108</v>
      </c>
      <c r="C25" s="3" t="s">
        <v>109</v>
      </c>
      <c r="D25" s="2" t="s">
        <v>114</v>
      </c>
      <c r="E25" s="2" t="s">
        <v>110</v>
      </c>
      <c r="G25" s="2" t="s">
        <v>35</v>
      </c>
    </row>
    <row r="26" spans="1:7" ht="15" customHeight="1" x14ac:dyDescent="0.35">
      <c r="G26" s="2" t="s">
        <v>36</v>
      </c>
    </row>
    <row r="27" spans="1:7" ht="15" customHeight="1" x14ac:dyDescent="0.35">
      <c r="G27" s="2" t="s">
        <v>37</v>
      </c>
    </row>
    <row r="28" spans="1:7" ht="15" customHeight="1" x14ac:dyDescent="0.35">
      <c r="G28" s="2" t="s">
        <v>38</v>
      </c>
    </row>
    <row r="29" spans="1:7" ht="15" customHeight="1" x14ac:dyDescent="0.35">
      <c r="G29" s="3" t="s">
        <v>39</v>
      </c>
    </row>
    <row r="30" spans="1:7" ht="15" customHeight="1" x14ac:dyDescent="0.35">
      <c r="G30" s="2" t="s">
        <v>40</v>
      </c>
    </row>
    <row r="31" spans="1:7" ht="15" customHeight="1" x14ac:dyDescent="0.35">
      <c r="G31" s="2" t="s">
        <v>41</v>
      </c>
    </row>
    <row r="32" spans="1:7" ht="15" customHeight="1" x14ac:dyDescent="0.35">
      <c r="G32" s="2" t="s">
        <v>42</v>
      </c>
    </row>
    <row r="33" spans="7:7" ht="15" customHeight="1" x14ac:dyDescent="0.35">
      <c r="G33" s="2" t="s">
        <v>43</v>
      </c>
    </row>
    <row r="34" spans="7:7" ht="15" customHeight="1" x14ac:dyDescent="0.35">
      <c r="G34" s="3" t="s">
        <v>44</v>
      </c>
    </row>
    <row r="35" spans="7:7" ht="15" customHeight="1" x14ac:dyDescent="0.35">
      <c r="G35" s="2" t="s">
        <v>45</v>
      </c>
    </row>
    <row r="36" spans="7:7" ht="15" customHeight="1" x14ac:dyDescent="0.35">
      <c r="G36" s="2" t="s">
        <v>46</v>
      </c>
    </row>
    <row r="37" spans="7:7" ht="15" customHeight="1" x14ac:dyDescent="0.35">
      <c r="G37" s="2" t="s">
        <v>47</v>
      </c>
    </row>
    <row r="38" spans="7:7" ht="15" customHeight="1" x14ac:dyDescent="0.35">
      <c r="G38" s="2" t="s">
        <v>48</v>
      </c>
    </row>
    <row r="39" spans="7:7" ht="15" customHeight="1" x14ac:dyDescent="0.35">
      <c r="G39" s="3" t="s">
        <v>49</v>
      </c>
    </row>
    <row r="40" spans="7:7" ht="15" customHeight="1" x14ac:dyDescent="0.35">
      <c r="G40" s="2" t="s">
        <v>50</v>
      </c>
    </row>
    <row r="41" spans="7:7" ht="15" customHeight="1" x14ac:dyDescent="0.35">
      <c r="G41" s="2" t="s">
        <v>51</v>
      </c>
    </row>
    <row r="42" spans="7:7" ht="15" customHeight="1" x14ac:dyDescent="0.35">
      <c r="G42" s="2" t="s">
        <v>52</v>
      </c>
    </row>
    <row r="43" spans="7:7" ht="15" customHeight="1" x14ac:dyDescent="0.35">
      <c r="G43" s="2" t="s">
        <v>53</v>
      </c>
    </row>
    <row r="44" spans="7:7" ht="15" customHeight="1" x14ac:dyDescent="0.35">
      <c r="G44" s="2" t="s">
        <v>54</v>
      </c>
    </row>
    <row r="45" spans="7:7" ht="15" customHeight="1" x14ac:dyDescent="0.35">
      <c r="G45" s="3" t="s">
        <v>55</v>
      </c>
    </row>
    <row r="46" spans="7:7" ht="15" customHeight="1" x14ac:dyDescent="0.35">
      <c r="G46" s="2" t="s">
        <v>56</v>
      </c>
    </row>
    <row r="47" spans="7:7" ht="15" customHeight="1" x14ac:dyDescent="0.35">
      <c r="G47" s="2" t="s">
        <v>57</v>
      </c>
    </row>
    <row r="48" spans="7:7" ht="15" customHeight="1" x14ac:dyDescent="0.35">
      <c r="G48" s="2" t="s">
        <v>58</v>
      </c>
    </row>
    <row r="49" spans="7:7" ht="15" customHeight="1" x14ac:dyDescent="0.35">
      <c r="G49" s="3" t="s">
        <v>59</v>
      </c>
    </row>
    <row r="50" spans="7:7" ht="15" customHeight="1" x14ac:dyDescent="0.35">
      <c r="G50" s="2" t="s">
        <v>60</v>
      </c>
    </row>
    <row r="51" spans="7:7" ht="15" customHeight="1" x14ac:dyDescent="0.35">
      <c r="G51" s="2" t="s">
        <v>61</v>
      </c>
    </row>
    <row r="52" spans="7:7" ht="15" customHeight="1" x14ac:dyDescent="0.35">
      <c r="G52" s="3" t="s">
        <v>62</v>
      </c>
    </row>
    <row r="53" spans="7:7" ht="15" customHeight="1" x14ac:dyDescent="0.35">
      <c r="G53" s="2" t="s">
        <v>63</v>
      </c>
    </row>
    <row r="54" spans="7:7" ht="15" customHeight="1" x14ac:dyDescent="0.35">
      <c r="G54" s="2" t="s">
        <v>64</v>
      </c>
    </row>
    <row r="55" spans="7:7" ht="15" customHeight="1" x14ac:dyDescent="0.35">
      <c r="G55" s="2" t="s">
        <v>65</v>
      </c>
    </row>
    <row r="56" spans="7:7" ht="15" customHeight="1" x14ac:dyDescent="0.35">
      <c r="G56" s="2" t="s">
        <v>66</v>
      </c>
    </row>
    <row r="57" spans="7:7" ht="15" customHeight="1" x14ac:dyDescent="0.35">
      <c r="G57" s="2">
        <v>16</v>
      </c>
    </row>
    <row r="58" spans="7:7" ht="15" customHeight="1" x14ac:dyDescent="0.35">
      <c r="G58" s="2">
        <v>17</v>
      </c>
    </row>
    <row r="59" spans="7:7" ht="15" customHeight="1" x14ac:dyDescent="0.35">
      <c r="G59" s="2">
        <v>18</v>
      </c>
    </row>
    <row r="60" spans="7:7" ht="15" customHeight="1" x14ac:dyDescent="0.35">
      <c r="G60" s="3">
        <v>19</v>
      </c>
    </row>
    <row r="61" spans="7:7" ht="15" customHeight="1" x14ac:dyDescent="0.35">
      <c r="G61" s="2" t="s">
        <v>67</v>
      </c>
    </row>
    <row r="62" spans="7:7" ht="15" customHeight="1" x14ac:dyDescent="0.35">
      <c r="G62" s="2" t="s">
        <v>68</v>
      </c>
    </row>
    <row r="63" spans="7:7" ht="15" customHeight="1" x14ac:dyDescent="0.35">
      <c r="G63" s="2" t="s">
        <v>69</v>
      </c>
    </row>
    <row r="64" spans="7:7" ht="15" customHeight="1" x14ac:dyDescent="0.35">
      <c r="G64" s="2" t="s">
        <v>70</v>
      </c>
    </row>
    <row r="65" spans="7:7" ht="15" customHeight="1" x14ac:dyDescent="0.35">
      <c r="G65" s="3" t="s">
        <v>71</v>
      </c>
    </row>
    <row r="66" spans="7:7" ht="15" customHeight="1" x14ac:dyDescent="0.35">
      <c r="G66" s="2" t="s">
        <v>72</v>
      </c>
    </row>
    <row r="67" spans="7:7" ht="15" customHeight="1" x14ac:dyDescent="0.35">
      <c r="G67" s="2" t="s">
        <v>73</v>
      </c>
    </row>
    <row r="68" spans="7:7" ht="15" customHeight="1" x14ac:dyDescent="0.35">
      <c r="G68" s="2" t="s">
        <v>74</v>
      </c>
    </row>
    <row r="69" spans="7:7" ht="15" customHeight="1" x14ac:dyDescent="0.35">
      <c r="G69" s="3" t="s">
        <v>75</v>
      </c>
    </row>
    <row r="70" spans="7:7" ht="15" customHeight="1" x14ac:dyDescent="0.35">
      <c r="G70" s="2" t="s">
        <v>76</v>
      </c>
    </row>
    <row r="71" spans="7:7" ht="15" customHeight="1" x14ac:dyDescent="0.35">
      <c r="G71" s="2" t="s">
        <v>77</v>
      </c>
    </row>
    <row r="72" spans="7:7" ht="15" customHeight="1" x14ac:dyDescent="0.35">
      <c r="G72" s="2">
        <v>1</v>
      </c>
    </row>
    <row r="73" spans="7:7" ht="15" customHeight="1" x14ac:dyDescent="0.35">
      <c r="G73" s="2">
        <v>2</v>
      </c>
    </row>
    <row r="74" spans="7:7" ht="15" customHeight="1" x14ac:dyDescent="0.35">
      <c r="G74" s="3">
        <v>3</v>
      </c>
    </row>
    <row r="75" spans="7:7" ht="15" customHeight="1" x14ac:dyDescent="0.35">
      <c r="G75" s="2">
        <v>4</v>
      </c>
    </row>
    <row r="76" spans="7:7" ht="15" customHeight="1" x14ac:dyDescent="0.35">
      <c r="G76" s="2" t="s">
        <v>78</v>
      </c>
    </row>
    <row r="77" spans="7:7" ht="15" customHeight="1" x14ac:dyDescent="0.35">
      <c r="G77" s="2">
        <v>1</v>
      </c>
    </row>
    <row r="78" spans="7:7" ht="15" customHeight="1" x14ac:dyDescent="0.35">
      <c r="G78" s="3">
        <v>2</v>
      </c>
    </row>
    <row r="79" spans="7:7" ht="15" customHeight="1" x14ac:dyDescent="0.35">
      <c r="G79" s="2">
        <v>3</v>
      </c>
    </row>
    <row r="80" spans="7:7" ht="15" customHeight="1" x14ac:dyDescent="0.35">
      <c r="G80" s="2">
        <v>4</v>
      </c>
    </row>
    <row r="81" spans="7:7" ht="15" customHeight="1" x14ac:dyDescent="0.35">
      <c r="G81" s="2" t="s">
        <v>79</v>
      </c>
    </row>
    <row r="82" spans="7:7" ht="15" customHeight="1" x14ac:dyDescent="0.35">
      <c r="G82" s="2" t="s">
        <v>80</v>
      </c>
    </row>
    <row r="83" spans="7:7" ht="15" customHeight="1" x14ac:dyDescent="0.35">
      <c r="G83" s="2" t="s">
        <v>81</v>
      </c>
    </row>
    <row r="84" spans="7:7" ht="15" customHeight="1" x14ac:dyDescent="0.35">
      <c r="G84" s="3" t="s">
        <v>82</v>
      </c>
    </row>
    <row r="85" spans="7:7" ht="15" customHeight="1" x14ac:dyDescent="0.35">
      <c r="G85" s="2" t="s">
        <v>83</v>
      </c>
    </row>
    <row r="86" spans="7:7" ht="15" customHeight="1" x14ac:dyDescent="0.35">
      <c r="G86" s="2" t="s">
        <v>84</v>
      </c>
    </row>
    <row r="87" spans="7:7" ht="15" customHeight="1" x14ac:dyDescent="0.35">
      <c r="G87" s="3">
        <v>1</v>
      </c>
    </row>
    <row r="88" spans="7:7" ht="15" customHeight="1" x14ac:dyDescent="0.35">
      <c r="G88" s="2">
        <v>2</v>
      </c>
    </row>
    <row r="89" spans="7:7" ht="15" customHeight="1" x14ac:dyDescent="0.35">
      <c r="G89" s="2">
        <v>3</v>
      </c>
    </row>
    <row r="90" spans="7:7" ht="15" customHeight="1" x14ac:dyDescent="0.35">
      <c r="G90" s="2">
        <v>4</v>
      </c>
    </row>
    <row r="91" spans="7:7" ht="15" customHeight="1" x14ac:dyDescent="0.35">
      <c r="G91" s="2" t="s">
        <v>85</v>
      </c>
    </row>
    <row r="92" spans="7:7" ht="15" customHeight="1" x14ac:dyDescent="0.35">
      <c r="G92" s="3" t="s">
        <v>86</v>
      </c>
    </row>
    <row r="93" spans="7:7" ht="15" customHeight="1" x14ac:dyDescent="0.35">
      <c r="G93" s="2" t="s">
        <v>87</v>
      </c>
    </row>
    <row r="94" spans="7:7" ht="15" customHeight="1" x14ac:dyDescent="0.35">
      <c r="G94" s="2" t="s">
        <v>88</v>
      </c>
    </row>
    <row r="95" spans="7:7" ht="15" customHeight="1" x14ac:dyDescent="0.35">
      <c r="G95" s="2" t="s">
        <v>89</v>
      </c>
    </row>
    <row r="96" spans="7:7" ht="15" customHeight="1" x14ac:dyDescent="0.35">
      <c r="G96" s="2" t="s">
        <v>90</v>
      </c>
    </row>
    <row r="97" spans="7:7" ht="15" customHeight="1" x14ac:dyDescent="0.35">
      <c r="G97" s="3">
        <v>1</v>
      </c>
    </row>
    <row r="98" spans="7:7" ht="15" customHeight="1" x14ac:dyDescent="0.35">
      <c r="G98" s="2">
        <v>2</v>
      </c>
    </row>
    <row r="99" spans="7:7" ht="15" customHeight="1" x14ac:dyDescent="0.35">
      <c r="G99" s="2">
        <v>3</v>
      </c>
    </row>
    <row r="100" spans="7:7" ht="15" customHeight="1" x14ac:dyDescent="0.35">
      <c r="G100" s="2">
        <v>4</v>
      </c>
    </row>
    <row r="101" spans="7:7" ht="15" customHeight="1" x14ac:dyDescent="0.35">
      <c r="G101" s="2" t="s">
        <v>91</v>
      </c>
    </row>
    <row r="102" spans="7:7" ht="15" customHeight="1" x14ac:dyDescent="0.35">
      <c r="G102" s="2">
        <v>1</v>
      </c>
    </row>
    <row r="103" spans="7:7" ht="15" customHeight="1" x14ac:dyDescent="0.35">
      <c r="G103" s="3">
        <v>2</v>
      </c>
    </row>
    <row r="104" spans="7:7" ht="15" customHeight="1" x14ac:dyDescent="0.35">
      <c r="G104" s="2">
        <v>3</v>
      </c>
    </row>
    <row r="105" spans="7:7" ht="15" customHeight="1" x14ac:dyDescent="0.35">
      <c r="G105" s="2">
        <v>4</v>
      </c>
    </row>
    <row r="106" spans="7:7" ht="15" customHeight="1" x14ac:dyDescent="0.35">
      <c r="G106" s="2" t="s">
        <v>92</v>
      </c>
    </row>
    <row r="107" spans="7:7" ht="15" customHeight="1" x14ac:dyDescent="0.35">
      <c r="G107" s="2" t="s">
        <v>93</v>
      </c>
    </row>
    <row r="108" spans="7:7" ht="15" customHeight="1" x14ac:dyDescent="0.35">
      <c r="G108" s="3" t="s">
        <v>94</v>
      </c>
    </row>
    <row r="109" spans="7:7" ht="15" customHeight="1" x14ac:dyDescent="0.35">
      <c r="G109" s="2" t="s">
        <v>95</v>
      </c>
    </row>
    <row r="110" spans="7:7" ht="15" customHeight="1" x14ac:dyDescent="0.35">
      <c r="G110" s="2" t="s">
        <v>96</v>
      </c>
    </row>
    <row r="111" spans="7:7" ht="15" customHeight="1" x14ac:dyDescent="0.35">
      <c r="G111" s="2" t="s">
        <v>97</v>
      </c>
    </row>
    <row r="112" spans="7:7" ht="15" customHeight="1" x14ac:dyDescent="0.35">
      <c r="G112" s="2" t="s">
        <v>98</v>
      </c>
    </row>
    <row r="113" spans="7:7" ht="15" customHeight="1" x14ac:dyDescent="0.35">
      <c r="G113" s="2" t="s">
        <v>99</v>
      </c>
    </row>
    <row r="114" spans="7:7" ht="15" customHeight="1" x14ac:dyDescent="0.35">
      <c r="G114" s="3" t="s">
        <v>100</v>
      </c>
    </row>
    <row r="115" spans="7:7" ht="15" customHeight="1" x14ac:dyDescent="0.35">
      <c r="G115" s="2" t="s">
        <v>101</v>
      </c>
    </row>
    <row r="116" spans="7:7" ht="15" customHeight="1" x14ac:dyDescent="0.35">
      <c r="G116" s="2" t="s">
        <v>102</v>
      </c>
    </row>
    <row r="117" spans="7:7" ht="15" customHeight="1" x14ac:dyDescent="0.35">
      <c r="G117" s="2" t="s">
        <v>103</v>
      </c>
    </row>
    <row r="118" spans="7:7" ht="15" customHeight="1" x14ac:dyDescent="0.35">
      <c r="G118" s="2" t="s">
        <v>104</v>
      </c>
    </row>
    <row r="119" spans="7:7" ht="15" customHeight="1" x14ac:dyDescent="0.35">
      <c r="G119" s="3" t="s">
        <v>105</v>
      </c>
    </row>
    <row r="120" spans="7:7" ht="15" customHeight="1" x14ac:dyDescent="0.35">
      <c r="G120" s="2" t="s">
        <v>106</v>
      </c>
    </row>
    <row r="121" spans="7:7" ht="15" customHeight="1" x14ac:dyDescent="0.35">
      <c r="G121" s="2" t="s">
        <v>107</v>
      </c>
    </row>
    <row r="122" spans="7:7" ht="15" customHeight="1" x14ac:dyDescent="0.35">
      <c r="G122" s="2" t="s">
        <v>108</v>
      </c>
    </row>
    <row r="123" spans="7:7" ht="15" customHeight="1" x14ac:dyDescent="0.35">
      <c r="G123" s="3" t="s">
        <v>109</v>
      </c>
    </row>
    <row r="124" spans="7:7" ht="15" customHeight="1" x14ac:dyDescent="0.35">
      <c r="G124" s="2" t="s">
        <v>114</v>
      </c>
    </row>
    <row r="125" spans="7:7" ht="15" customHeight="1" x14ac:dyDescent="0.35">
      <c r="G125" s="2" t="s">
        <v>110</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HASIL SAVE AS TXT</vt:lpstr>
      <vt:lpstr>Sheet2</vt:lpstr>
      <vt:lpstr>Sheet1!_Hlk101434402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PESERTA</dc:creator>
  <cp:lastModifiedBy>rohayati</cp:lastModifiedBy>
  <dcterms:created xsi:type="dcterms:W3CDTF">2021-03-23T06:43:56Z</dcterms:created>
  <dcterms:modified xsi:type="dcterms:W3CDTF">2022-06-12T13:31:07Z</dcterms:modified>
</cp:coreProperties>
</file>